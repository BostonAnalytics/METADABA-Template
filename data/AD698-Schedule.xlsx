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/>
  <mc:AlternateContent xmlns:mc="http://schemas.openxmlformats.org/markup-compatibility/2006">
    <mc:Choice Requires="x15">
      <x15ac:absPath xmlns:x15ac="http://schemas.microsoft.com/office/spreadsheetml/2010/11/ac" url="https://bushare-my.sharepoint.com/personal/npadalka_bu_edu/Documents/Classes/Quarto Template - Generation/"/>
    </mc:Choice>
  </mc:AlternateContent>
  <xr:revisionPtr revIDLastSave="0" documentId="8_{F7D8530D-2F96-447B-922B-797CF6F94DC8}" xr6:coauthVersionLast="47" xr6:coauthVersionMax="47" xr10:uidLastSave="{00000000-0000-0000-0000-000000000000}"/>
  <bookViews>
    <workbookView xWindow="-120" yWindow="-120" windowWidth="29040" windowHeight="15720" xr2:uid="{289CF049-F2D7-49EE-A36E-C623D66A4696}"/>
  </bookViews>
  <sheets>
    <sheet name="Course Details" sheetId="2" r:id="rId1"/>
    <sheet name="Sections" sheetId="3" r:id="rId2"/>
    <sheet name="Grade" sheetId="4" r:id="rId3"/>
    <sheet name="Day List" sheetId="5" r:id="rId4"/>
    <sheet name="Calendar" sheetId="6" r:id="rId5"/>
    <sheet name="Deliverables" sheetId="7" r:id="rId6"/>
    <sheet name="Sheet1" sheetId="1" r:id="rId7"/>
    <sheet name="Readings" sheetId="9" r:id="rId8"/>
    <sheet name="Course Details (2)" sheetId="8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B2" i="4"/>
  <c r="B5" i="4"/>
  <c r="B4" i="4"/>
  <c r="H3" i="6" l="1"/>
  <c r="I3" i="6" s="1"/>
  <c r="J3" i="6" s="1"/>
  <c r="K3" i="6" s="1"/>
  <c r="L3" i="6" s="1"/>
  <c r="H2" i="6"/>
  <c r="I2" i="6" s="1"/>
  <c r="J2" i="6" s="1"/>
  <c r="K2" i="6" s="1"/>
  <c r="L2" i="6" s="1"/>
  <c r="M2" i="6" s="1"/>
  <c r="N2" i="6" s="1"/>
  <c r="O2" i="6" s="1"/>
  <c r="P2" i="6" s="1"/>
  <c r="Q2" i="6" s="1"/>
  <c r="R2" i="6" s="1"/>
  <c r="S2" i="6" s="1"/>
  <c r="C3" i="5"/>
  <c r="C4" i="5" s="1"/>
  <c r="C5" i="5" s="1"/>
  <c r="C6" i="5" s="1"/>
  <c r="C7" i="5" s="1"/>
  <c r="C8" i="5" s="1"/>
  <c r="B3" i="5"/>
  <c r="B4" i="5" s="1"/>
  <c r="B5" i="5" s="1"/>
  <c r="B6" i="5" s="1"/>
  <c r="B7" i="5" s="1"/>
  <c r="B8" i="5" s="1"/>
  <c r="A3" i="5"/>
  <c r="A4" i="5" s="1"/>
  <c r="A5" i="5" s="1"/>
  <c r="A6" i="5" s="1"/>
  <c r="A7" i="5" s="1"/>
  <c r="A8" i="5" s="1"/>
  <c r="H11" i="4"/>
  <c r="H10" i="4"/>
  <c r="H5" i="4"/>
  <c r="H4" i="4"/>
  <c r="C4" i="4" s="1"/>
  <c r="H2" i="4"/>
  <c r="C2" i="4" l="1"/>
  <c r="C5" i="4"/>
  <c r="H12" i="4"/>
  <c r="C6" i="4" l="1"/>
</calcChain>
</file>

<file path=xl/sharedStrings.xml><?xml version="1.0" encoding="utf-8"?>
<sst xmlns="http://schemas.openxmlformats.org/spreadsheetml/2006/main" count="508" uniqueCount="277">
  <si>
    <t>Modules</t>
  </si>
  <si>
    <t>Module Name</t>
  </si>
  <si>
    <t>Lecture</t>
  </si>
  <si>
    <t>Title</t>
  </si>
  <si>
    <t>Description</t>
  </si>
  <si>
    <t>Online</t>
  </si>
  <si>
    <t>On-Campus</t>
  </si>
  <si>
    <t>M0</t>
  </si>
  <si>
    <t>Technology Stack Preparation</t>
  </si>
  <si>
    <t>L0.1</t>
  </si>
  <si>
    <t>Optional GitHub Classroom &amp; Version Control Basics 	Optional GitHub account setup</t>
  </si>
  <si>
    <t>GitHub Classroom workflow; cloning and opening notebooks in Colab; basic version control concepts (commit, push, pull); when and why GitHub is used in applied GenAI work.</t>
  </si>
  <si>
    <t>L0.2</t>
  </si>
  <si>
    <t>Google Colab &amp; Execution Environment Setup with technical orientation</t>
  </si>
  <si>
    <t>Google Colab setup; notebook fundamentals; Python runtime basics; managing files, sessions, and outputs; running, saving, exporting, and submitting notebooks.</t>
  </si>
  <si>
    <t>M1</t>
  </si>
  <si>
    <t>Language Probability and Representation</t>
  </si>
  <si>
    <t>L1.1</t>
  </si>
  <si>
    <t>Course Orientation and Reproducible GenAI Setup</t>
  </si>
  <si>
    <t>Course overview; GenAI system framing; AI disclosure files and accountability.</t>
  </si>
  <si>
    <t>L1.2</t>
  </si>
  <si>
    <t>Language Probability and Generative Systems</t>
  </si>
  <si>
    <t>Why language is probabilistic; prediction as generation; uncertainty in text; NLP as the foundation of GenAI.</t>
  </si>
  <si>
    <t>M2</t>
  </si>
  <si>
    <t>Meaning and Structured Text</t>
  </si>
  <si>
    <t>L2.1</t>
  </si>
  <si>
    <t>Mathematical Foundations Through Language Modeling</t>
  </si>
  <si>
    <t>Vectors as meaning; probability and conditional likelihood; loss functions; entropy and perplexity introduced through language modeling.</t>
  </si>
  <si>
    <t>L2.2</t>
  </si>
  <si>
    <t>From Words to Structured Text</t>
  </si>
  <si>
    <t>Foundations of text representation; tokenization and normalization; n-grams; static versus contextual representations; document structure awareness.</t>
  </si>
  <si>
    <t>M3</t>
  </si>
  <si>
    <t>Prompting and Semantic Geometry</t>
  </si>
  <si>
    <t>L3.1</t>
  </si>
  <si>
    <t>Prompting as System Design</t>
  </si>
  <si>
    <t>Prompt engineering as probabilistic control; zero and few-shot learning; in-context learning; common failure modes.</t>
  </si>
  <si>
    <t>L3.2</t>
  </si>
  <si>
    <t>Tokenization Embeddings and Semantic Geometry</t>
  </si>
  <si>
    <t>Subword tokenization; embedding spaces; cosine similarity; semantic neighborhoods; semantic drift.</t>
  </si>
  <si>
    <t>M4</t>
  </si>
  <si>
    <t>Model Architectures</t>
  </si>
  <si>
    <t>L4.1</t>
  </si>
  <si>
    <t>Transformers Attention and Context</t>
  </si>
  <si>
    <t>Self-attention; positional encoding; scaling intuition; why transformers replaced RNNs and LSTMs.</t>
  </si>
  <si>
    <t>L4.2</t>
  </si>
  <si>
    <t>Training Paradigms and Fine-Tuning Pipelines</t>
  </si>
  <si>
    <t>Pretraining versus fine-tuning; instruction tuning; dataset formatting; overfitting and data leakage risks.</t>
  </si>
  <si>
    <t>M5</t>
  </si>
  <si>
    <t>Retrieval and Grounded Generation</t>
  </si>
  <si>
    <t>L5.1</t>
  </si>
  <si>
    <t>Retrieval Augmented Generation Concepts</t>
  </si>
  <si>
    <t>Chunking and indexing; embedding-based retrieval; grounding strategies; hallucination risks.</t>
  </si>
  <si>
    <t>L5.2</t>
  </si>
  <si>
    <t>Designing Retrieval-Augmented Pipelines</t>
  </si>
  <si>
    <t>End-to-end retrieval-augmented workflows; query design; citation tracing; system limitations.</t>
  </si>
  <si>
    <t>M6</t>
  </si>
  <si>
    <t>Adaptation and Insight</t>
  </si>
  <si>
    <t>L6.1</t>
  </si>
  <si>
    <t>Efficient Adaptation LoRA QLoRA and PEFT</t>
  </si>
  <si>
    <t>Parameter-efficient fine-tuning; tradeoffs between prompting retrieval and adaptation; cost governance.</t>
  </si>
  <si>
    <t>L6.2</t>
  </si>
  <si>
    <t>Semantic Search Clustering and Change Detection</t>
  </si>
  <si>
    <t>Embedding-based clustering; similarity search; longitudinal semantic analysis across document collections.</t>
  </si>
  <si>
    <t>M7</t>
  </si>
  <si>
    <t>Context and Multimodality</t>
  </si>
  <si>
    <t>L7.1</t>
  </si>
  <si>
    <t>Context Windows Memory and Compression</t>
  </si>
  <si>
    <t>Context limits; summarization; caching; memory strategies for long documents.</t>
  </si>
  <si>
    <t>L7.2</t>
  </si>
  <si>
    <t>Multimodal Generative Models and Structured Data</t>
  </si>
  <si>
    <t>Vision-language models; multimodal inputs; tables figures and structured representations; enterprise use cases.</t>
  </si>
  <si>
    <t>M8</t>
  </si>
  <si>
    <t>Evaluation and Governance</t>
  </si>
  <si>
    <t>L8.1</t>
  </si>
  <si>
    <t>Evaluating Generative AI Systems</t>
  </si>
  <si>
    <t>Human evaluation rubrics; LLM-as-a-judge; grounding checks; reproducibility and auditability.</t>
  </si>
  <si>
    <t>L8.2</t>
  </si>
  <si>
    <t>Responsible and Governed GenAI</t>
  </si>
  <si>
    <t>Bias fairness and ethics; accountability; governance frameworks; limits of automation.</t>
  </si>
  <si>
    <t>Section</t>
  </si>
  <si>
    <t>Instructor</t>
  </si>
  <si>
    <t>Day</t>
  </si>
  <si>
    <t>Time</t>
  </si>
  <si>
    <t>A1</t>
  </si>
  <si>
    <t>Generative Artificial Intelligence for Business Analytics</t>
  </si>
  <si>
    <t>Nakul Padalkar</t>
  </si>
  <si>
    <t>Mon</t>
  </si>
  <si>
    <t>6:00PM</t>
  </si>
  <si>
    <t>O</t>
  </si>
  <si>
    <t>Tue</t>
  </si>
  <si>
    <t>7:00PM</t>
  </si>
  <si>
    <t>Deliverables</t>
  </si>
  <si>
    <t>Count_norman</t>
  </si>
  <si>
    <t>Total Points</t>
  </si>
  <si>
    <t>Class Activity</t>
  </si>
  <si>
    <t>Count</t>
  </si>
  <si>
    <t>Points</t>
  </si>
  <si>
    <t>Max Points</t>
  </si>
  <si>
    <t>Participation Points</t>
  </si>
  <si>
    <t>AWS Academy Generative AI Foundations</t>
  </si>
  <si>
    <t>Group Paper Presentation (Once per Group)</t>
  </si>
  <si>
    <t>Group Paper Presentation (Once per Group)*</t>
  </si>
  <si>
    <t>Individual Assignments</t>
  </si>
  <si>
    <t>Assignment</t>
  </si>
  <si>
    <t>Group Project milestones</t>
  </si>
  <si>
    <t>Managerial report with  Application Demo</t>
  </si>
  <si>
    <t>Total</t>
  </si>
  <si>
    <t>Corpus Familiarization &amp; Chatbot Scope</t>
  </si>
  <si>
    <t>Text Structuring &amp; Retrieval Units</t>
  </si>
  <si>
    <t>Embeddings &amp; Retrieval Baseline</t>
  </si>
  <si>
    <t>Grounded Generation &amp; Guardrails</t>
  </si>
  <si>
    <t>Group Project Presentation</t>
  </si>
  <si>
    <t xml:space="preserve">Group Feedback </t>
  </si>
  <si>
    <t>A2</t>
  </si>
  <si>
    <t>A3</t>
  </si>
  <si>
    <t>Fall 2025</t>
  </si>
  <si>
    <t>First Name</t>
  </si>
  <si>
    <t>Last Name</t>
  </si>
  <si>
    <t>BU email</t>
  </si>
  <si>
    <t>Weekday</t>
  </si>
  <si>
    <t>W01D1</t>
  </si>
  <si>
    <t>W02D1</t>
  </si>
  <si>
    <t>W03D1</t>
  </si>
  <si>
    <t>W04D1</t>
  </si>
  <si>
    <t>W05D1</t>
  </si>
  <si>
    <t>W06D1</t>
  </si>
  <si>
    <t>W07D1</t>
  </si>
  <si>
    <t>W08D1</t>
  </si>
  <si>
    <t>W09D1</t>
  </si>
  <si>
    <t>W10D1</t>
  </si>
  <si>
    <t>W11D1</t>
  </si>
  <si>
    <t>W12D1</t>
  </si>
  <si>
    <t>W13D1</t>
  </si>
  <si>
    <t>W14D1</t>
  </si>
  <si>
    <t>Section A1</t>
  </si>
  <si>
    <t>Nakul</t>
  </si>
  <si>
    <t>Padalkar</t>
  </si>
  <si>
    <t>npadalka@bu.edu</t>
  </si>
  <si>
    <t>Monday</t>
  </si>
  <si>
    <t>Online/Fall 1</t>
  </si>
  <si>
    <t>Tuesday</t>
  </si>
  <si>
    <t>Spring 2025</t>
  </si>
  <si>
    <t>Deliverable type</t>
  </si>
  <si>
    <t>W01D6</t>
  </si>
  <si>
    <t>W02D6</t>
  </si>
  <si>
    <t>W03D6</t>
  </si>
  <si>
    <t>W04D6</t>
  </si>
  <si>
    <t>W05D6</t>
  </si>
  <si>
    <t>W06D6</t>
  </si>
  <si>
    <t>W07D6</t>
  </si>
  <si>
    <t>W08D6</t>
  </si>
  <si>
    <t>W09D6</t>
  </si>
  <si>
    <t>W10D6</t>
  </si>
  <si>
    <t>W11D6</t>
  </si>
  <si>
    <t>W12D6</t>
  </si>
  <si>
    <t>W13D6</t>
  </si>
  <si>
    <t>W14D6</t>
  </si>
  <si>
    <t>Labs</t>
  </si>
  <si>
    <t>Lab  1</t>
  </si>
  <si>
    <t>Lab  2</t>
  </si>
  <si>
    <t>Lab  3</t>
  </si>
  <si>
    <t>Lab  4</t>
  </si>
  <si>
    <t>Lab  5</t>
  </si>
  <si>
    <t>Lab  6</t>
  </si>
  <si>
    <t>Lab  7</t>
  </si>
  <si>
    <t>Lab  8</t>
  </si>
  <si>
    <t>Thursday</t>
  </si>
  <si>
    <t>Wednesday</t>
  </si>
  <si>
    <t>O2</t>
  </si>
  <si>
    <t>Assignments</t>
  </si>
  <si>
    <t>Assignment 1</t>
  </si>
  <si>
    <t>Assignment 2</t>
  </si>
  <si>
    <t>Assignment 3</t>
  </si>
  <si>
    <t>Project</t>
  </si>
  <si>
    <t>Project 1</t>
  </si>
  <si>
    <t>Project 2</t>
  </si>
  <si>
    <t>Project 3</t>
  </si>
  <si>
    <t>Project 4</t>
  </si>
  <si>
    <t>presentations</t>
  </si>
  <si>
    <t>AWS Certification</t>
  </si>
  <si>
    <t>Github Pages</t>
  </si>
  <si>
    <t>On Campus</t>
  </si>
  <si>
    <t>Module 0</t>
  </si>
  <si>
    <t>Lecture 0.1</t>
  </si>
  <si>
    <t>Course Introduction &amp; Generative AI Landscape</t>
  </si>
  <si>
    <t>Lab 0.1: GitHub Classroom, SSH, Repo Setup</t>
  </si>
  <si>
    <t>Assignment 0: Dev Environment Setup + GitHub Basics</t>
  </si>
  <si>
    <t>Lecture 0.2</t>
  </si>
  <si>
    <t>Local Dev Setup: GitHub, Jupyter, VS Code</t>
  </si>
  <si>
    <t>Lab 0.2: Python+Jupyter environment setup with API keys</t>
  </si>
  <si>
    <t>Module 1</t>
  </si>
  <si>
    <t>Lecture 1.1</t>
  </si>
  <si>
    <t>Prompt Engineering Fundamentals</t>
  </si>
  <si>
    <t>Lab 1.1: Chain-of-thought prompt chaining in notebooks</t>
  </si>
  <si>
    <t>Project Check-in #1</t>
  </si>
  <si>
    <t>Lecture 1.2</t>
  </si>
  <si>
    <t>Business Use Cases with Prompts</t>
  </si>
  <si>
    <t>Lab 1.2: Business prompt scenarios for emails, analysis, SQL</t>
  </si>
  <si>
    <t>Module 2</t>
  </si>
  <si>
    <t>Lecture 2.1</t>
  </si>
  <si>
    <t>RAG Basics: Embeddings, Chunking, Indexing</t>
  </si>
  <si>
    <t>Lab 2.1: Build a RAG pipeline over a policy/finance corpus</t>
  </si>
  <si>
    <t>Lecture 2.2</t>
  </si>
  <si>
    <t>RAG Query Pipelines with LangChain &amp; LlamaIndex</t>
  </si>
  <si>
    <t>Lab 2.2: Structured query + doc-answering with LlamaIndex</t>
  </si>
  <si>
    <t>Assignment 1: RAG + SQL Assistant</t>
  </si>
  <si>
    <t>Project Check-in #2</t>
  </si>
  <si>
    <t>Module 3</t>
  </si>
  <si>
    <t>Lecture 3.1</t>
  </si>
  <si>
    <t>Intro to Agents: ReAct, Tool Use</t>
  </si>
  <si>
    <t>Lab 3.1: LangChain agent with search + calculator tools</t>
  </si>
  <si>
    <t>Lecture 3.2</t>
  </si>
  <si>
    <t>Multi-Agent Systems (AutoGen, CrewAI)</t>
  </si>
  <si>
    <t>Lab 3.2: Multi-agent business scenario (planner + explainer)</t>
  </si>
  <si>
    <t>Project Check-in #3</t>
  </si>
  <si>
    <t>Module 4</t>
  </si>
  <si>
    <t>Lecture 4.1</t>
  </si>
  <si>
    <t>LoRA, QLoRA, PEFT Techniques</t>
  </si>
  <si>
    <t>Lab 4.1: Fine-tune a model on business comms dataset</t>
  </si>
  <si>
    <t>Lecture 4.2</t>
  </si>
  <si>
    <t>Fine-Tuning Pipelines &amp; Data Handling</t>
  </si>
  <si>
    <t>Lab 4.2: Evaluate LoRA-tuned model vs. base model</t>
  </si>
  <si>
    <t>Assignment 2: Fine-tune LLM for Business Use Case</t>
  </si>
  <si>
    <t>Module 5</t>
  </si>
  <si>
    <t>Lecture 5.1</t>
  </si>
  <si>
    <t>Embeddings &amp; Similarity Search</t>
  </si>
  <si>
    <t>Lab 5.1: Compare OpenAI vs Cohere embeddings</t>
  </si>
  <si>
    <t>Lecture 5.2</t>
  </si>
  <si>
    <t>Memory &amp; Context Management</t>
  </si>
  <si>
    <t>Lab 5.2: Add memory to agent with summarization history</t>
  </si>
  <si>
    <t>Project Check-in #4</t>
  </si>
  <si>
    <t>Module 6</t>
  </si>
  <si>
    <t>Lecture 6.1</t>
  </si>
  <si>
    <t>Model Evaluation &amp; GPT-Eval</t>
  </si>
  <si>
    <t>Lab 6.1: Evaluate hallucination rate on GenAI outputs</t>
  </si>
  <si>
    <t>Lecture 6.2</t>
  </si>
  <si>
    <t>Responsible AI &amp; Bias Detection</t>
  </si>
  <si>
    <t>Lab 6.2: Fairness test on GenAI financial summaries</t>
  </si>
  <si>
    <t>Assignment 3: Responsible AI Audit</t>
  </si>
  <si>
    <t>Module 7</t>
  </si>
  <si>
    <t>Lecture 7.1</t>
  </si>
  <si>
    <t>Model Optimization Techniques</t>
  </si>
  <si>
    <t>Lab 7.1: Quantize model and test inference</t>
  </si>
  <si>
    <t>Lecture 7.2</t>
  </si>
  <si>
    <t>Deployment: GitHub Actions + Streamlit</t>
  </si>
  <si>
    <t>Lab 7.2: Deploy GenAI dashboard with Streamlit</t>
  </si>
  <si>
    <t>Assignment 4: Deployment Plan + Cost Strategy</t>
  </si>
  <si>
    <t>Project Finalization</t>
  </si>
  <si>
    <t>Module 8</t>
  </si>
  <si>
    <t>Lecture 8.1</t>
  </si>
  <si>
    <t>Capstone Project Presentations</t>
  </si>
  <si>
    <t>Project Presentation</t>
  </si>
  <si>
    <t>Lecture 8.2</t>
  </si>
  <si>
    <t>Peer Feedback &amp; Industry Outlook</t>
  </si>
  <si>
    <t>Assignment 5: Final Capstone Report</t>
  </si>
  <si>
    <t>Week</t>
  </si>
  <si>
    <t>Raymond (1999) The Cathedral and the Bazaar; Wilson et al. (2014) Best Practices for Scientific Computing; Peng (2011) Reproducible Research in Computational Science</t>
  </si>
  <si>
    <t>Stodden et al. (2016) Computational Reproducibility; Knuth (1984) Literate Programming; Stodden et al. (2014) The Practice of Reproducible Research</t>
  </si>
  <si>
    <t>Bender et al. (2021) Stochastic Parrots; OpenAI (2023) Sparks of AGI; Vaswani et al. (2017) Attention Is All You Need</t>
  </si>
  <si>
    <t>Bengio et al. (2003) Neural Probabilistic Language Models; Firth (1957) Distributional Hypothesis; Survey of Large Language Models</t>
  </si>
  <si>
    <t>Mikolov et al. (2013) Distributed Representations; Turney and Pantel (2010) Vector Space Models of Semantics; Bengio et al. (2003) Neural Language Models</t>
  </si>
  <si>
    <t>Gentzkow Kelly Taddy (2019) Text as Data; Collobert et al. (2011) NLP from Scratch; Kogan et al. (2019) Information Extraction from Business Text</t>
  </si>
  <si>
    <t>The Prompt Report; Wei et al. (2022) Chain-of-Thought Prompting; DSPy Framework Paper</t>
  </si>
  <si>
    <t>Mikolov et al. (2013) Word2Vec; Reimers and Gurevych (2019) Sentence-BERT; Survey of Embedding Models</t>
  </si>
  <si>
    <t>Vaswani et al. (2017) Attention Is All You Need; Alammar Illustrated Transformer; Kaplan et al. (2020) Scaling Laws</t>
  </si>
  <si>
    <t>Ouyang et al. (2022) Training Language Models with Human Feedback; Instruction Tuning with GPT-4; Survey of Fine-Tuning Methods</t>
  </si>
  <si>
    <t>Lewis et al. (2020) Retrieval-Augmented Generation; Seven Failure Points in RAG; Self-RAG</t>
  </si>
  <si>
    <t>HybridRAG; Corrective RAG; Text2SQL Is Not Enough</t>
  </si>
  <si>
    <t>Hu et al. (2021) LoRA; Dettmers et al. (2023) QLoRA; Survey on Small Language Models</t>
  </si>
  <si>
    <t>Blei and Lafferty (2006) Dynamic Topic Models; Embedding-Based Document Clustering Survey; Semantic Change Detection in Text</t>
  </si>
  <si>
    <t>Liu et al. (2023) Context Window Evaluation; LongNet; LazyLLM</t>
  </si>
  <si>
    <t>OpenAI GPT-4V Report; Segment Anything; Multimodal Chain-of-Thought Reasoning</t>
  </si>
  <si>
    <t>Evaluating Large Language Models Survey; LLM-as-a-Judge Survey; Chain-of-Verification</t>
  </si>
  <si>
    <t>Bender et al. (2021) Stochastic Parrots; Survey on Hallucination in LLMs; Responsible AI for Enterprise Systems</t>
  </si>
  <si>
    <t>L0.3</t>
  </si>
  <si>
    <t>Overview of GenAI technical stack, GenAI Tooling, APIs, and Responsible Usage Foundations.</t>
  </si>
  <si>
    <t>LLM APIs (OpenAI, Gemini, Anthropic); prompt execution vs programmatic calls; API keys and secrets management; cost awareness; responsible and accountable GenAI usage.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</si>
</sst>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\ AM/PM;@"/>
    <numFmt numFmtId="165" formatCode="ddd"/>
    <numFmt numFmtId="166" formatCode="d\-mmm\ \(ddd\)"/>
  </numFmts>
  <fonts count="1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"/>
      <family val="2"/>
    </font>
    <font>
      <b/>
      <sz val="10"/>
      <color theme="1"/>
      <name val="Aptos"/>
      <family val="2"/>
    </font>
    <font>
      <b/>
      <sz val="9"/>
      <color theme="1"/>
      <name val="Aptos"/>
      <family val="2"/>
    </font>
    <font>
      <sz val="10"/>
      <color theme="1"/>
      <name val="Aptos"/>
      <family val="2"/>
    </font>
    <font>
      <u/>
      <sz val="10"/>
      <color theme="10"/>
      <name val="Aptos"/>
      <family val="2"/>
    </font>
    <font>
      <sz val="10"/>
      <name val="Aptos"/>
      <family val="2"/>
    </font>
    <font>
      <sz val="9"/>
      <color theme="1"/>
      <name val="Aptos"/>
      <family val="2"/>
    </font>
    <font>
      <sz val="9"/>
      <name val="Aptos"/>
      <family val="2"/>
    </font>
    <font>
      <sz val="9"/>
      <color theme="1"/>
      <name val="Aptos Narrow"/>
      <family val="2"/>
      <scheme val="minor"/>
    </font>
    <font>
      <sz val="9"/>
      <color rgb="FFC00000"/>
      <name val="Aptos Narrow"/>
      <family val="2"/>
      <scheme val="minor"/>
    </font>
    <font>
      <sz val="9"/>
      <color rgb="FF00B05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1">
    <xf numFmtId="0" fontId="0" fillId="0" borderId="0" xfId="0"/>
    <xf numFmtId="0" fontId="0" fillId="0" borderId="2" xfId="0" applyBorder="1"/>
    <xf numFmtId="0" fontId="0" fillId="0" borderId="1" xfId="0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/>
    </xf>
    <xf numFmtId="18" fontId="6" fillId="0" borderId="0" xfId="0" applyNumberFormat="1" applyFont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0" xfId="0" applyFont="1" applyAlignment="1">
      <alignment vertical="center"/>
    </xf>
    <xf numFmtId="49" fontId="10" fillId="0" borderId="9" xfId="0" applyNumberFormat="1" applyFont="1" applyBorder="1" applyAlignment="1">
      <alignment vertical="center"/>
    </xf>
    <xf numFmtId="16" fontId="11" fillId="0" borderId="4" xfId="0" applyNumberFormat="1" applyFont="1" applyBorder="1" applyAlignment="1">
      <alignment horizontal="center" vertical="top"/>
    </xf>
    <xf numFmtId="16" fontId="11" fillId="0" borderId="5" xfId="0" applyNumberFormat="1" applyFont="1" applyBorder="1" applyAlignment="1">
      <alignment horizontal="center" vertical="top"/>
    </xf>
    <xf numFmtId="16" fontId="11" fillId="0" borderId="0" xfId="0" applyNumberFormat="1" applyFont="1" applyAlignment="1">
      <alignment horizontal="center" vertical="top"/>
    </xf>
    <xf numFmtId="16" fontId="11" fillId="0" borderId="9" xfId="0" applyNumberFormat="1" applyFont="1" applyBorder="1" applyAlignment="1">
      <alignment horizontal="center" vertical="top"/>
    </xf>
    <xf numFmtId="0" fontId="9" fillId="0" borderId="10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49" fontId="10" fillId="0" borderId="11" xfId="0" applyNumberFormat="1" applyFont="1" applyBorder="1" applyAlignment="1">
      <alignment vertical="center"/>
    </xf>
    <xf numFmtId="16" fontId="11" fillId="0" borderId="2" xfId="0" applyNumberFormat="1" applyFont="1" applyBorder="1" applyAlignment="1">
      <alignment horizontal="center" vertical="top"/>
    </xf>
    <xf numFmtId="16" fontId="11" fillId="0" borderId="11" xfId="0" applyNumberFormat="1" applyFont="1" applyBorder="1" applyAlignment="1">
      <alignment horizontal="center" vertical="top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49" fontId="10" fillId="0" borderId="5" xfId="0" applyNumberFormat="1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6" fontId="12" fillId="0" borderId="4" xfId="0" applyNumberFormat="1" applyFont="1" applyBorder="1" applyAlignment="1">
      <alignment horizontal="center" vertical="top"/>
    </xf>
    <xf numFmtId="0" fontId="9" fillId="0" borderId="5" xfId="0" applyFont="1" applyBorder="1" applyAlignment="1">
      <alignment horizontal="center" vertical="center"/>
    </xf>
    <xf numFmtId="16" fontId="12" fillId="0" borderId="0" xfId="0" applyNumberFormat="1" applyFont="1" applyAlignment="1">
      <alignment horizontal="center" vertical="top"/>
    </xf>
    <xf numFmtId="0" fontId="9" fillId="0" borderId="9" xfId="0" applyFont="1" applyBorder="1" applyAlignment="1">
      <alignment horizontal="center" vertical="center"/>
    </xf>
    <xf numFmtId="16" fontId="13" fillId="0" borderId="2" xfId="0" applyNumberFormat="1" applyFont="1" applyBorder="1" applyAlignment="1">
      <alignment horizontal="center" vertical="top"/>
    </xf>
    <xf numFmtId="16" fontId="12" fillId="0" borderId="2" xfId="0" applyNumberFormat="1" applyFont="1" applyBorder="1" applyAlignment="1">
      <alignment horizontal="center" vertical="top"/>
    </xf>
    <xf numFmtId="0" fontId="9" fillId="0" borderId="11" xfId="0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1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mailto:npadalka@bu.edu" TargetMode="External"/><Relationship Id="rId1" Type="http://schemas.openxmlformats.org/officeDocument/2006/relationships/hyperlink" Target="mailto:npadalka@bu.edu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A5D89-D79C-44C1-8747-841FF0601386}">
  <dimension ref="A1:G22"/>
  <sheetViews>
    <sheetView tabSelected="1" workbookViewId="0">
      <selection activeCell="B4" sqref="B4"/>
    </sheetView>
  </sheetViews>
  <sheetFormatPr defaultColWidth="9.140625" defaultRowHeight="15"/>
  <cols>
    <col min="1" max="1" width="9" style="4" bestFit="1" customWidth="1"/>
    <col min="2" max="2" width="28" style="4" customWidth="1"/>
    <col min="3" max="3" width="8" style="4" bestFit="1" customWidth="1"/>
    <col min="4" max="4" width="65.28515625" style="4" bestFit="1" customWidth="1"/>
    <col min="5" max="5" width="88" style="60" bestFit="1" customWidth="1"/>
    <col min="6" max="6" width="7.140625" style="4" bestFit="1" customWidth="1"/>
    <col min="7" max="7" width="12.140625" style="4" bestFit="1" customWidth="1"/>
    <col min="8" max="16384" width="9.140625" style="4"/>
  </cols>
  <sheetData>
    <row r="1" spans="1:7">
      <c r="A1" s="56" t="s">
        <v>0</v>
      </c>
      <c r="B1" s="60" t="s">
        <v>1</v>
      </c>
      <c r="C1" s="56" t="s">
        <v>2</v>
      </c>
      <c r="D1" s="57" t="s">
        <v>3</v>
      </c>
      <c r="E1" s="57" t="s">
        <v>4</v>
      </c>
      <c r="F1" s="3" t="s">
        <v>5</v>
      </c>
      <c r="G1" s="3" t="s">
        <v>6</v>
      </c>
    </row>
    <row r="2" spans="1:7" ht="30">
      <c r="A2" s="4" t="s">
        <v>7</v>
      </c>
      <c r="B2" s="60" t="s">
        <v>8</v>
      </c>
      <c r="C2" s="4" t="s">
        <v>9</v>
      </c>
      <c r="D2" s="57" t="s">
        <v>10</v>
      </c>
      <c r="E2" s="57" t="s">
        <v>11</v>
      </c>
      <c r="F2" s="58"/>
      <c r="G2" s="58"/>
    </row>
    <row r="3" spans="1:7" ht="30">
      <c r="A3" s="4" t="s">
        <v>7</v>
      </c>
      <c r="B3" s="60" t="s">
        <v>8</v>
      </c>
      <c r="C3" s="4" t="s">
        <v>12</v>
      </c>
      <c r="D3" s="57" t="s">
        <v>13</v>
      </c>
      <c r="E3" s="57" t="s">
        <v>14</v>
      </c>
      <c r="F3" s="58"/>
      <c r="G3" s="58"/>
    </row>
    <row r="4" spans="1:7" ht="30">
      <c r="A4" s="4" t="s">
        <v>15</v>
      </c>
      <c r="B4" s="60" t="s">
        <v>16</v>
      </c>
      <c r="C4" s="4" t="s">
        <v>17</v>
      </c>
      <c r="D4" s="60" t="s">
        <v>18</v>
      </c>
      <c r="E4" s="60" t="s">
        <v>19</v>
      </c>
      <c r="F4" s="58"/>
      <c r="G4" s="58"/>
    </row>
    <row r="5" spans="1:7" ht="30">
      <c r="A5" s="4" t="s">
        <v>15</v>
      </c>
      <c r="B5" s="60" t="s">
        <v>16</v>
      </c>
      <c r="C5" s="4" t="s">
        <v>20</v>
      </c>
      <c r="D5" s="60" t="s">
        <v>21</v>
      </c>
      <c r="E5" s="60" t="s">
        <v>22</v>
      </c>
      <c r="F5" s="58"/>
      <c r="G5" s="58"/>
    </row>
    <row r="6" spans="1:7" ht="30">
      <c r="A6" s="4" t="s">
        <v>23</v>
      </c>
      <c r="B6" s="60" t="s">
        <v>24</v>
      </c>
      <c r="C6" s="4" t="s">
        <v>25</v>
      </c>
      <c r="D6" s="60" t="s">
        <v>26</v>
      </c>
      <c r="E6" s="60" t="s">
        <v>27</v>
      </c>
      <c r="F6" s="58"/>
      <c r="G6" s="58"/>
    </row>
    <row r="7" spans="1:7" ht="30">
      <c r="A7" s="4" t="s">
        <v>23</v>
      </c>
      <c r="B7" s="60" t="s">
        <v>24</v>
      </c>
      <c r="C7" s="4" t="s">
        <v>28</v>
      </c>
      <c r="D7" s="60" t="s">
        <v>29</v>
      </c>
      <c r="E7" s="60" t="s">
        <v>30</v>
      </c>
      <c r="F7" s="58"/>
      <c r="G7" s="58"/>
    </row>
    <row r="8" spans="1:7" ht="30">
      <c r="A8" s="4" t="s">
        <v>31</v>
      </c>
      <c r="B8" s="60" t="s">
        <v>32</v>
      </c>
      <c r="C8" s="4" t="s">
        <v>33</v>
      </c>
      <c r="D8" s="60" t="s">
        <v>34</v>
      </c>
      <c r="E8" s="60" t="s">
        <v>35</v>
      </c>
      <c r="F8" s="58"/>
      <c r="G8" s="58"/>
    </row>
    <row r="9" spans="1:7" ht="30">
      <c r="A9" s="4" t="s">
        <v>31</v>
      </c>
      <c r="B9" s="60" t="s">
        <v>32</v>
      </c>
      <c r="C9" s="4" t="s">
        <v>36</v>
      </c>
      <c r="D9" s="60" t="s">
        <v>37</v>
      </c>
      <c r="E9" s="60" t="s">
        <v>38</v>
      </c>
      <c r="F9" s="58"/>
      <c r="G9" s="58"/>
    </row>
    <row r="10" spans="1:7" ht="30">
      <c r="A10" s="4" t="s">
        <v>39</v>
      </c>
      <c r="B10" s="60" t="s">
        <v>40</v>
      </c>
      <c r="C10" s="4" t="s">
        <v>41</v>
      </c>
      <c r="D10" s="60" t="s">
        <v>42</v>
      </c>
      <c r="E10" s="60" t="s">
        <v>43</v>
      </c>
      <c r="F10" s="58"/>
      <c r="G10" s="58"/>
    </row>
    <row r="11" spans="1:7" ht="30">
      <c r="A11" s="4" t="s">
        <v>39</v>
      </c>
      <c r="B11" s="60" t="s">
        <v>40</v>
      </c>
      <c r="C11" s="4" t="s">
        <v>44</v>
      </c>
      <c r="D11" s="60" t="s">
        <v>45</v>
      </c>
      <c r="E11" s="60" t="s">
        <v>46</v>
      </c>
      <c r="F11" s="58"/>
      <c r="G11" s="58"/>
    </row>
    <row r="12" spans="1:7" ht="30">
      <c r="A12" s="4" t="s">
        <v>47</v>
      </c>
      <c r="B12" s="60" t="s">
        <v>48</v>
      </c>
      <c r="C12" s="4" t="s">
        <v>49</v>
      </c>
      <c r="D12" s="60" t="s">
        <v>50</v>
      </c>
      <c r="E12" s="60" t="s">
        <v>51</v>
      </c>
      <c r="F12" s="58"/>
      <c r="G12" s="58"/>
    </row>
    <row r="13" spans="1:7" ht="30">
      <c r="A13" s="4" t="s">
        <v>47</v>
      </c>
      <c r="B13" s="60" t="s">
        <v>48</v>
      </c>
      <c r="C13" s="4" t="s">
        <v>52</v>
      </c>
      <c r="D13" s="60" t="s">
        <v>53</v>
      </c>
      <c r="E13" s="60" t="s">
        <v>54</v>
      </c>
      <c r="F13" s="58"/>
      <c r="G13" s="58"/>
    </row>
    <row r="14" spans="1:7" ht="30">
      <c r="A14" s="4" t="s">
        <v>55</v>
      </c>
      <c r="B14" s="60" t="s">
        <v>56</v>
      </c>
      <c r="C14" s="4" t="s">
        <v>57</v>
      </c>
      <c r="D14" s="60" t="s">
        <v>58</v>
      </c>
      <c r="E14" s="60" t="s">
        <v>59</v>
      </c>
      <c r="F14" s="58"/>
    </row>
    <row r="15" spans="1:7" ht="30">
      <c r="A15" s="4" t="s">
        <v>55</v>
      </c>
      <c r="B15" s="60" t="s">
        <v>56</v>
      </c>
      <c r="C15" s="4" t="s">
        <v>60</v>
      </c>
      <c r="D15" s="60" t="s">
        <v>61</v>
      </c>
      <c r="E15" s="60" t="s">
        <v>62</v>
      </c>
      <c r="F15" s="58"/>
    </row>
    <row r="16" spans="1:7">
      <c r="A16" s="4" t="s">
        <v>63</v>
      </c>
      <c r="B16" s="60" t="s">
        <v>64</v>
      </c>
      <c r="C16" s="4" t="s">
        <v>65</v>
      </c>
      <c r="D16" s="60" t="s">
        <v>66</v>
      </c>
      <c r="E16" s="60" t="s">
        <v>67</v>
      </c>
      <c r="F16" s="58"/>
    </row>
    <row r="17" spans="1:6" ht="30">
      <c r="A17" s="4" t="s">
        <v>63</v>
      </c>
      <c r="B17" s="60" t="s">
        <v>64</v>
      </c>
      <c r="C17" s="4" t="s">
        <v>68</v>
      </c>
      <c r="D17" s="60" t="s">
        <v>69</v>
      </c>
      <c r="E17" s="60" t="s">
        <v>70</v>
      </c>
      <c r="F17" s="58"/>
    </row>
    <row r="18" spans="1:6" ht="30">
      <c r="A18" s="4" t="s">
        <v>71</v>
      </c>
      <c r="B18" s="60" t="s">
        <v>72</v>
      </c>
      <c r="C18" s="4" t="s">
        <v>73</v>
      </c>
      <c r="D18" s="60" t="s">
        <v>74</v>
      </c>
      <c r="E18" s="60" t="s">
        <v>75</v>
      </c>
      <c r="F18" s="58"/>
    </row>
    <row r="19" spans="1:6">
      <c r="A19" s="4" t="s">
        <v>71</v>
      </c>
      <c r="B19" s="60" t="s">
        <v>72</v>
      </c>
      <c r="C19" s="4" t="s">
        <v>76</v>
      </c>
      <c r="D19" s="60" t="s">
        <v>77</v>
      </c>
      <c r="E19" s="60" t="s">
        <v>78</v>
      </c>
      <c r="F19" s="58"/>
    </row>
    <row r="20" spans="1:6">
      <c r="E20" s="4"/>
      <c r="F20" s="58"/>
    </row>
    <row r="21" spans="1:6">
      <c r="F21" s="58"/>
    </row>
    <row r="22" spans="1:6">
      <c r="F22" s="58"/>
    </row>
  </sheetData>
  <phoneticPr fontId="14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15F21-B674-4B2F-B456-A6FAF27E0BC1}">
  <dimension ref="A1:E3"/>
  <sheetViews>
    <sheetView workbookViewId="0">
      <selection activeCell="C15" sqref="C15"/>
    </sheetView>
  </sheetViews>
  <sheetFormatPr defaultColWidth="9.140625" defaultRowHeight="15"/>
  <cols>
    <col min="1" max="1" width="8" style="6" bestFit="1" customWidth="1"/>
    <col min="2" max="2" width="27.7109375" style="5" bestFit="1" customWidth="1"/>
    <col min="3" max="3" width="15.42578125" style="5" bestFit="1" customWidth="1"/>
    <col min="4" max="4" width="6.28515625" style="6" bestFit="1" customWidth="1"/>
    <col min="5" max="5" width="9.5703125" style="6" bestFit="1" customWidth="1"/>
    <col min="6" max="16384" width="9.140625" style="5"/>
  </cols>
  <sheetData>
    <row r="1" spans="1:5">
      <c r="A1" s="3" t="s">
        <v>79</v>
      </c>
      <c r="B1" s="4" t="s">
        <v>3</v>
      </c>
      <c r="C1" s="4" t="s">
        <v>80</v>
      </c>
      <c r="D1" s="3" t="s">
        <v>81</v>
      </c>
      <c r="E1" s="3" t="s">
        <v>82</v>
      </c>
    </row>
    <row r="2" spans="1:5">
      <c r="A2" s="54" t="s">
        <v>83</v>
      </c>
      <c r="B2" s="4" t="s">
        <v>84</v>
      </c>
      <c r="C2" s="4" t="s">
        <v>85</v>
      </c>
      <c r="D2" s="3" t="s">
        <v>86</v>
      </c>
      <c r="E2" s="55" t="s">
        <v>87</v>
      </c>
    </row>
    <row r="3" spans="1:5">
      <c r="A3" s="54" t="s">
        <v>88</v>
      </c>
      <c r="B3" s="4" t="s">
        <v>84</v>
      </c>
      <c r="C3" s="4" t="s">
        <v>85</v>
      </c>
      <c r="D3" s="3" t="s">
        <v>89</v>
      </c>
      <c r="E3" s="3" t="s">
        <v>90</v>
      </c>
    </row>
  </sheetData>
  <pageMargins left="0.7" right="0.7" top="0.75" bottom="0.75" header="0.3" footer="0.3"/>
  <pageSetup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F4A2C-504E-4299-BCAC-273B4ED698AA}">
  <dimension ref="A1:H12"/>
  <sheetViews>
    <sheetView workbookViewId="0">
      <selection activeCell="C6" sqref="C6"/>
    </sheetView>
  </sheetViews>
  <sheetFormatPr defaultRowHeight="15"/>
  <cols>
    <col min="1" max="1" width="23.5703125" bestFit="1" customWidth="1"/>
    <col min="2" max="2" width="6.140625" style="7" bestFit="1" customWidth="1"/>
    <col min="3" max="3" width="25.28515625" style="7" customWidth="1"/>
    <col min="4" max="4" width="25.28515625" customWidth="1"/>
    <col min="5" max="5" width="46.5703125" style="8" bestFit="1" customWidth="1"/>
    <col min="6" max="6" width="6.140625" style="7" bestFit="1" customWidth="1"/>
    <col min="7" max="7" width="6.140625" style="7" customWidth="1"/>
    <col min="8" max="8" width="9.140625" style="12"/>
  </cols>
  <sheetData>
    <row r="1" spans="1:8">
      <c r="A1" t="s">
        <v>91</v>
      </c>
      <c r="B1" s="7" t="s">
        <v>92</v>
      </c>
      <c r="C1" s="7" t="s">
        <v>93</v>
      </c>
      <c r="E1" s="8" t="s">
        <v>94</v>
      </c>
      <c r="F1" s="7" t="s">
        <v>95</v>
      </c>
      <c r="G1" s="7" t="s">
        <v>96</v>
      </c>
      <c r="H1" s="7" t="s">
        <v>97</v>
      </c>
    </row>
    <row r="2" spans="1:8">
      <c r="A2" t="s">
        <v>98</v>
      </c>
      <c r="B2" s="9">
        <f>F2</f>
        <v>1</v>
      </c>
      <c r="C2" s="9">
        <f>H2</f>
        <v>100</v>
      </c>
      <c r="E2" s="8" t="s">
        <v>99</v>
      </c>
      <c r="F2" s="9">
        <v>1</v>
      </c>
      <c r="G2" s="9">
        <v>100</v>
      </c>
      <c r="H2" s="10">
        <f>F2*G2</f>
        <v>100</v>
      </c>
    </row>
    <row r="3" spans="1:8">
      <c r="A3" t="s">
        <v>100</v>
      </c>
      <c r="B3" s="7">
        <v>1</v>
      </c>
      <c r="C3" s="7">
        <v>50</v>
      </c>
      <c r="E3" s="8" t="s">
        <v>101</v>
      </c>
      <c r="F3" s="7">
        <v>1</v>
      </c>
      <c r="G3" s="7">
        <v>50</v>
      </c>
      <c r="H3" s="10">
        <f>F3*G3</f>
        <v>50</v>
      </c>
    </row>
    <row r="4" spans="1:8">
      <c r="A4" t="s">
        <v>102</v>
      </c>
      <c r="B4" s="9">
        <f>F4</f>
        <v>4</v>
      </c>
      <c r="C4" s="9">
        <f>H4</f>
        <v>200</v>
      </c>
      <c r="E4" s="8" t="s">
        <v>103</v>
      </c>
      <c r="F4" s="9">
        <v>4</v>
      </c>
      <c r="G4" s="9">
        <v>50</v>
      </c>
      <c r="H4" s="10">
        <f>F4*G4</f>
        <v>200</v>
      </c>
    </row>
    <row r="5" spans="1:8">
      <c r="A5" t="s">
        <v>104</v>
      </c>
      <c r="B5" s="9">
        <f>SUM(F6:F9)</f>
        <v>4</v>
      </c>
      <c r="C5" s="9">
        <f>H5+H10+H11</f>
        <v>150</v>
      </c>
      <c r="E5" s="8" t="s">
        <v>105</v>
      </c>
      <c r="F5" s="9">
        <v>1</v>
      </c>
      <c r="G5" s="9">
        <v>70</v>
      </c>
      <c r="H5" s="10">
        <f>F5*G5</f>
        <v>70</v>
      </c>
    </row>
    <row r="6" spans="1:8">
      <c r="A6" t="s">
        <v>106</v>
      </c>
      <c r="C6" s="9">
        <f>SUM(C2:C5)</f>
        <v>500</v>
      </c>
      <c r="E6" s="11" t="s">
        <v>107</v>
      </c>
      <c r="F6" s="9">
        <v>1</v>
      </c>
      <c r="G6" s="9"/>
      <c r="H6" s="10"/>
    </row>
    <row r="7" spans="1:8">
      <c r="E7" s="11" t="s">
        <v>108</v>
      </c>
      <c r="F7" s="9">
        <v>1</v>
      </c>
      <c r="G7" s="9"/>
      <c r="H7" s="10"/>
    </row>
    <row r="8" spans="1:8">
      <c r="E8" s="11" t="s">
        <v>109</v>
      </c>
      <c r="F8" s="9">
        <v>1</v>
      </c>
      <c r="G8" s="9"/>
      <c r="H8" s="10"/>
    </row>
    <row r="9" spans="1:8">
      <c r="E9" s="11" t="s">
        <v>110</v>
      </c>
      <c r="F9" s="9">
        <v>1</v>
      </c>
      <c r="G9" s="9"/>
      <c r="H9" s="10"/>
    </row>
    <row r="10" spans="1:8">
      <c r="E10" t="s">
        <v>111</v>
      </c>
      <c r="F10" s="9">
        <v>1</v>
      </c>
      <c r="G10" s="9">
        <v>40</v>
      </c>
      <c r="H10" s="10">
        <f>F10*G10</f>
        <v>40</v>
      </c>
    </row>
    <row r="11" spans="1:8">
      <c r="E11" t="s">
        <v>112</v>
      </c>
      <c r="F11" s="9">
        <v>1</v>
      </c>
      <c r="G11" s="9">
        <v>40</v>
      </c>
      <c r="H11" s="10">
        <f>F11*G11</f>
        <v>40</v>
      </c>
    </row>
    <row r="12" spans="1:8">
      <c r="E12" s="8" t="s">
        <v>106</v>
      </c>
      <c r="F12" s="9"/>
      <c r="G12" s="9"/>
      <c r="H12" s="9">
        <f>SUM(H2:H11)</f>
        <v>500</v>
      </c>
    </row>
  </sheetData>
  <pageMargins left="0.7" right="0.7" top="0.75" bottom="0.75" header="0.3" footer="0.3"/>
  <pageSetup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EDEE5-FCE6-4068-AB46-F742177FC122}">
  <dimension ref="A1:C8"/>
  <sheetViews>
    <sheetView workbookViewId="0">
      <selection activeCell="G27" sqref="G27"/>
    </sheetView>
  </sheetViews>
  <sheetFormatPr defaultRowHeight="15"/>
  <cols>
    <col min="1" max="2" width="9.42578125" style="7" bestFit="1" customWidth="1"/>
    <col min="3" max="3" width="11.140625" style="7" bestFit="1" customWidth="1"/>
  </cols>
  <sheetData>
    <row r="1" spans="1:3">
      <c r="A1" s="13" t="s">
        <v>83</v>
      </c>
      <c r="B1" s="13" t="s">
        <v>113</v>
      </c>
      <c r="C1" s="13" t="s">
        <v>114</v>
      </c>
    </row>
    <row r="2" spans="1:3">
      <c r="A2" s="14">
        <v>45678</v>
      </c>
      <c r="B2" s="14">
        <v>45680</v>
      </c>
      <c r="C2" s="14">
        <v>45679</v>
      </c>
    </row>
    <row r="3" spans="1:3">
      <c r="A3" s="14">
        <f t="shared" ref="A3:A8" si="0">A2+1</f>
        <v>45679</v>
      </c>
      <c r="B3" s="14">
        <f t="shared" ref="B3:C8" si="1">B2+1</f>
        <v>45681</v>
      </c>
      <c r="C3" s="14">
        <f t="shared" si="1"/>
        <v>45680</v>
      </c>
    </row>
    <row r="4" spans="1:3">
      <c r="A4" s="14">
        <f t="shared" si="0"/>
        <v>45680</v>
      </c>
      <c r="B4" s="14">
        <f t="shared" si="1"/>
        <v>45682</v>
      </c>
      <c r="C4" s="14">
        <f t="shared" si="1"/>
        <v>45681</v>
      </c>
    </row>
    <row r="5" spans="1:3">
      <c r="A5" s="14">
        <f t="shared" si="0"/>
        <v>45681</v>
      </c>
      <c r="B5" s="14">
        <f t="shared" si="1"/>
        <v>45683</v>
      </c>
      <c r="C5" s="14">
        <f t="shared" si="1"/>
        <v>45682</v>
      </c>
    </row>
    <row r="6" spans="1:3">
      <c r="A6" s="14">
        <f t="shared" si="0"/>
        <v>45682</v>
      </c>
      <c r="B6" s="14">
        <f t="shared" si="1"/>
        <v>45684</v>
      </c>
      <c r="C6" s="14">
        <f t="shared" si="1"/>
        <v>45683</v>
      </c>
    </row>
    <row r="7" spans="1:3">
      <c r="A7" s="14">
        <f t="shared" si="0"/>
        <v>45683</v>
      </c>
      <c r="B7" s="14">
        <f t="shared" si="1"/>
        <v>45685</v>
      </c>
      <c r="C7" s="14">
        <f t="shared" si="1"/>
        <v>45684</v>
      </c>
    </row>
    <row r="8" spans="1:3">
      <c r="A8" s="14">
        <f t="shared" si="0"/>
        <v>45684</v>
      </c>
      <c r="B8" s="14">
        <f t="shared" si="1"/>
        <v>45686</v>
      </c>
      <c r="C8" s="14">
        <f t="shared" si="1"/>
        <v>45685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212D1-9145-4781-B112-D6F7BB229F82}">
  <dimension ref="A1:T5"/>
  <sheetViews>
    <sheetView workbookViewId="0">
      <selection activeCell="H28" sqref="H28"/>
    </sheetView>
  </sheetViews>
  <sheetFormatPr defaultColWidth="9.140625" defaultRowHeight="13.5"/>
  <cols>
    <col min="1" max="1" width="11.140625" style="20" bestFit="1" customWidth="1"/>
    <col min="2" max="2" width="10.28515625" style="20" bestFit="1" customWidth="1"/>
    <col min="3" max="3" width="10.140625" style="20" bestFit="1" customWidth="1"/>
    <col min="4" max="4" width="15.7109375" style="20" bestFit="1" customWidth="1"/>
    <col min="5" max="5" width="8.7109375" style="20" bestFit="1" customWidth="1"/>
    <col min="6" max="6" width="7.5703125" style="20" bestFit="1" customWidth="1"/>
    <col min="7" max="7" width="10.5703125" style="20" bestFit="1" customWidth="1"/>
    <col min="8" max="12" width="11.5703125" style="20" bestFit="1" customWidth="1"/>
    <col min="13" max="13" width="10.7109375" style="20" bestFit="1" customWidth="1"/>
    <col min="14" max="16" width="11.7109375" style="20" bestFit="1" customWidth="1"/>
    <col min="17" max="18" width="10.85546875" style="20" bestFit="1" customWidth="1"/>
    <col min="19" max="19" width="11.85546875" style="20" bestFit="1" customWidth="1"/>
    <col min="20" max="20" width="6.28515625" style="20" bestFit="1" customWidth="1"/>
    <col min="21" max="16384" width="9.140625" style="20"/>
  </cols>
  <sheetData>
    <row r="1" spans="1:20" s="15" customFormat="1">
      <c r="A1" s="15" t="s">
        <v>115</v>
      </c>
      <c r="B1" s="16" t="s">
        <v>116</v>
      </c>
      <c r="C1" s="16" t="s">
        <v>117</v>
      </c>
      <c r="D1" s="15" t="s">
        <v>118</v>
      </c>
      <c r="E1" s="15" t="s">
        <v>119</v>
      </c>
      <c r="F1" s="15" t="s">
        <v>82</v>
      </c>
      <c r="G1" s="17" t="s">
        <v>120</v>
      </c>
      <c r="H1" s="18" t="s">
        <v>121</v>
      </c>
      <c r="I1" s="18" t="s">
        <v>122</v>
      </c>
      <c r="J1" s="18" t="s">
        <v>123</v>
      </c>
      <c r="K1" s="18" t="s">
        <v>124</v>
      </c>
      <c r="L1" s="18" t="s">
        <v>125</v>
      </c>
      <c r="M1" s="18" t="s">
        <v>126</v>
      </c>
      <c r="N1" s="18" t="s">
        <v>127</v>
      </c>
      <c r="O1" s="18" t="s">
        <v>128</v>
      </c>
      <c r="P1" s="18" t="s">
        <v>129</v>
      </c>
      <c r="Q1" s="18" t="s">
        <v>130</v>
      </c>
      <c r="R1" s="18" t="s">
        <v>131</v>
      </c>
      <c r="S1" s="18" t="s">
        <v>132</v>
      </c>
      <c r="T1" s="19" t="s">
        <v>133</v>
      </c>
    </row>
    <row r="2" spans="1:20">
      <c r="A2" s="20" t="s">
        <v>134</v>
      </c>
      <c r="B2" s="20" t="s">
        <v>135</v>
      </c>
      <c r="C2" s="20" t="s">
        <v>136</v>
      </c>
      <c r="D2" s="21" t="s">
        <v>137</v>
      </c>
      <c r="E2" s="22" t="s">
        <v>138</v>
      </c>
      <c r="F2" s="23">
        <v>0.60416666666666663</v>
      </c>
      <c r="G2" s="24">
        <v>45908</v>
      </c>
      <c r="H2" s="24">
        <f t="shared" ref="H2:J3" si="0">G2+7</f>
        <v>45915</v>
      </c>
      <c r="I2" s="24">
        <f t="shared" si="0"/>
        <v>45922</v>
      </c>
      <c r="J2" s="24">
        <f t="shared" si="0"/>
        <v>45929</v>
      </c>
      <c r="K2" s="24">
        <f>J2+14</f>
        <v>45943</v>
      </c>
      <c r="L2" s="24">
        <f>K2+7</f>
        <v>45950</v>
      </c>
      <c r="M2" s="24">
        <f>L2+14</f>
        <v>45964</v>
      </c>
      <c r="N2" s="24">
        <f t="shared" ref="N2:S2" si="1">M2+7</f>
        <v>45971</v>
      </c>
      <c r="O2" s="24">
        <f t="shared" si="1"/>
        <v>45978</v>
      </c>
      <c r="P2" s="24">
        <f t="shared" si="1"/>
        <v>45985</v>
      </c>
      <c r="Q2" s="24">
        <f t="shared" si="1"/>
        <v>45992</v>
      </c>
      <c r="R2" s="24">
        <f t="shared" si="1"/>
        <v>45999</v>
      </c>
      <c r="S2" s="24">
        <f t="shared" si="1"/>
        <v>46006</v>
      </c>
    </row>
    <row r="3" spans="1:20">
      <c r="A3" s="20" t="s">
        <v>139</v>
      </c>
      <c r="B3" s="20" t="s">
        <v>135</v>
      </c>
      <c r="C3" s="20" t="s">
        <v>136</v>
      </c>
      <c r="D3" s="21" t="s">
        <v>137</v>
      </c>
      <c r="E3" s="22" t="s">
        <v>140</v>
      </c>
      <c r="F3" s="25">
        <v>0.79166666666666663</v>
      </c>
      <c r="G3" s="24">
        <v>45902</v>
      </c>
      <c r="H3" s="24">
        <f t="shared" si="0"/>
        <v>45909</v>
      </c>
      <c r="I3" s="24">
        <f t="shared" si="0"/>
        <v>45916</v>
      </c>
      <c r="J3" s="24">
        <f t="shared" si="0"/>
        <v>45923</v>
      </c>
      <c r="K3" s="24">
        <f>J3+14</f>
        <v>45937</v>
      </c>
      <c r="L3" s="24">
        <f>K3+7</f>
        <v>45944</v>
      </c>
      <c r="M3" s="24"/>
      <c r="N3" s="24"/>
      <c r="O3" s="24"/>
      <c r="P3" s="24"/>
      <c r="Q3" s="24"/>
      <c r="R3" s="24"/>
      <c r="S3" s="24"/>
      <c r="T3" s="24"/>
    </row>
    <row r="4" spans="1:20">
      <c r="B4" s="22"/>
      <c r="C4" s="22"/>
      <c r="D4" s="21"/>
      <c r="E4" s="22"/>
    </row>
    <row r="5" spans="1:20">
      <c r="B5" s="22"/>
      <c r="C5" s="22"/>
      <c r="D5" s="21"/>
      <c r="E5" s="22"/>
    </row>
  </sheetData>
  <hyperlinks>
    <hyperlink ref="D2" r:id="rId1" xr:uid="{88F8704B-4142-470A-9082-27360419EE69}"/>
    <hyperlink ref="D3" r:id="rId2" xr:uid="{31973078-C7D2-4F90-AFFE-C60A154418B1}"/>
  </hyperlinks>
  <pageMargins left="0.7" right="0.7" top="0.75" bottom="0.75" header="0.3" footer="0.3"/>
  <pageSetup orientation="portrait" verticalDpi="0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F0E4D-7BEC-4BA0-8F17-434E0C1CE817}">
  <dimension ref="A1:Q21"/>
  <sheetViews>
    <sheetView workbookViewId="0">
      <selection activeCell="O34" sqref="O34"/>
    </sheetView>
  </sheetViews>
  <sheetFormatPr defaultColWidth="9.140625" defaultRowHeight="12"/>
  <cols>
    <col min="1" max="1" width="9.5703125" style="31" bestFit="1" customWidth="1"/>
    <col min="2" max="2" width="14.28515625" style="31" bestFit="1" customWidth="1"/>
    <col min="3" max="3" width="9.7109375" style="31" bestFit="1" customWidth="1"/>
    <col min="4" max="4" width="6.28515625" style="45" bestFit="1" customWidth="1"/>
    <col min="5" max="5" width="7.140625" style="45" bestFit="1" customWidth="1"/>
    <col min="6" max="6" width="10" style="45" bestFit="1" customWidth="1"/>
    <col min="7" max="7" width="6.28515625" style="45" bestFit="1" customWidth="1"/>
    <col min="8" max="8" width="7.140625" style="45" bestFit="1" customWidth="1"/>
    <col min="9" max="9" width="6.28515625" style="45" bestFit="1" customWidth="1"/>
    <col min="10" max="10" width="10" style="45" bestFit="1" customWidth="1"/>
    <col min="11" max="11" width="7.140625" style="45" bestFit="1" customWidth="1"/>
    <col min="12" max="12" width="6.28515625" style="45" bestFit="1" customWidth="1"/>
    <col min="13" max="13" width="13.42578125" style="45" bestFit="1" customWidth="1"/>
    <col min="14" max="14" width="10" style="45" bestFit="1" customWidth="1"/>
    <col min="15" max="16" width="10.5703125" style="45" bestFit="1" customWidth="1"/>
    <col min="17" max="17" width="6.28515625" style="45" bestFit="1" customWidth="1"/>
    <col min="18" max="16384" width="9.140625" style="31"/>
  </cols>
  <sheetData>
    <row r="1" spans="1:17" s="29" customFormat="1">
      <c r="A1" s="26" t="s">
        <v>141</v>
      </c>
      <c r="B1" s="27" t="s">
        <v>142</v>
      </c>
      <c r="C1" s="28" t="s">
        <v>119</v>
      </c>
      <c r="D1" s="18" t="s">
        <v>143</v>
      </c>
      <c r="E1" s="18" t="s">
        <v>144</v>
      </c>
      <c r="F1" s="18" t="s">
        <v>145</v>
      </c>
      <c r="G1" s="18" t="s">
        <v>146</v>
      </c>
      <c r="H1" s="18" t="s">
        <v>147</v>
      </c>
      <c r="I1" s="18" t="s">
        <v>148</v>
      </c>
      <c r="J1" s="18" t="s">
        <v>149</v>
      </c>
      <c r="K1" s="18" t="s">
        <v>150</v>
      </c>
      <c r="L1" s="18" t="s">
        <v>151</v>
      </c>
      <c r="M1" s="18" t="s">
        <v>152</v>
      </c>
      <c r="N1" s="18" t="s">
        <v>153</v>
      </c>
      <c r="O1" s="18" t="s">
        <v>154</v>
      </c>
      <c r="P1" s="18" t="s">
        <v>155</v>
      </c>
      <c r="Q1" s="19" t="s">
        <v>156</v>
      </c>
    </row>
    <row r="2" spans="1:17">
      <c r="A2" s="30" t="s">
        <v>83</v>
      </c>
      <c r="B2" s="31" t="s">
        <v>157</v>
      </c>
      <c r="C2" s="32" t="s">
        <v>140</v>
      </c>
      <c r="D2" s="33" t="s">
        <v>158</v>
      </c>
      <c r="E2" s="33" t="s">
        <v>159</v>
      </c>
      <c r="F2" s="33" t="s">
        <v>160</v>
      </c>
      <c r="G2" s="33" t="s">
        <v>161</v>
      </c>
      <c r="H2" s="33"/>
      <c r="I2" s="33" t="s">
        <v>162</v>
      </c>
      <c r="J2" s="33" t="s">
        <v>163</v>
      </c>
      <c r="K2" s="33" t="s">
        <v>164</v>
      </c>
      <c r="L2" s="33"/>
      <c r="M2" s="33" t="s">
        <v>165</v>
      </c>
      <c r="N2" s="33"/>
      <c r="O2" s="33"/>
      <c r="P2" s="33"/>
      <c r="Q2" s="34"/>
    </row>
    <row r="3" spans="1:17">
      <c r="A3" s="30" t="s">
        <v>113</v>
      </c>
      <c r="B3" s="31" t="s">
        <v>157</v>
      </c>
      <c r="C3" s="32" t="s">
        <v>166</v>
      </c>
      <c r="D3" s="35" t="s">
        <v>158</v>
      </c>
      <c r="E3" s="35" t="s">
        <v>159</v>
      </c>
      <c r="F3" s="35" t="s">
        <v>160</v>
      </c>
      <c r="G3" s="35" t="s">
        <v>161</v>
      </c>
      <c r="H3" s="35"/>
      <c r="I3" s="35" t="s">
        <v>162</v>
      </c>
      <c r="J3" s="35" t="s">
        <v>163</v>
      </c>
      <c r="K3" s="35" t="s">
        <v>164</v>
      </c>
      <c r="L3" s="35"/>
      <c r="M3" s="35" t="s">
        <v>165</v>
      </c>
      <c r="N3" s="35"/>
      <c r="O3" s="35"/>
      <c r="P3" s="35"/>
      <c r="Q3" s="36"/>
    </row>
    <row r="4" spans="1:17">
      <c r="A4" s="30" t="s">
        <v>114</v>
      </c>
      <c r="B4" s="31" t="s">
        <v>157</v>
      </c>
      <c r="C4" s="32" t="s">
        <v>167</v>
      </c>
      <c r="D4" s="35" t="s">
        <v>158</v>
      </c>
      <c r="E4" s="35" t="s">
        <v>159</v>
      </c>
      <c r="F4" s="35" t="s">
        <v>160</v>
      </c>
      <c r="G4" s="35" t="s">
        <v>161</v>
      </c>
      <c r="H4" s="35"/>
      <c r="I4" s="35" t="s">
        <v>162</v>
      </c>
      <c r="J4" s="35" t="s">
        <v>163</v>
      </c>
      <c r="K4" s="35" t="s">
        <v>164</v>
      </c>
      <c r="L4" s="35"/>
      <c r="M4" s="35" t="s">
        <v>165</v>
      </c>
      <c r="N4" s="35"/>
      <c r="O4" s="35"/>
      <c r="P4" s="35"/>
      <c r="Q4" s="36"/>
    </row>
    <row r="5" spans="1:17">
      <c r="A5" s="37" t="s">
        <v>168</v>
      </c>
      <c r="B5" s="38" t="s">
        <v>157</v>
      </c>
      <c r="C5" s="39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1"/>
    </row>
    <row r="6" spans="1:17">
      <c r="A6" s="42" t="s">
        <v>83</v>
      </c>
      <c r="B6" s="43" t="s">
        <v>169</v>
      </c>
      <c r="C6" s="44" t="s">
        <v>140</v>
      </c>
      <c r="D6" s="33"/>
      <c r="E6" s="33"/>
      <c r="G6" s="33" t="s">
        <v>170</v>
      </c>
      <c r="H6" s="33"/>
      <c r="I6" s="33"/>
      <c r="K6" s="33" t="s">
        <v>171</v>
      </c>
      <c r="L6" s="46"/>
      <c r="M6" s="33"/>
      <c r="N6" s="33" t="s">
        <v>172</v>
      </c>
      <c r="P6" s="47"/>
      <c r="Q6" s="48"/>
    </row>
    <row r="7" spans="1:17">
      <c r="A7" s="30" t="s">
        <v>113</v>
      </c>
      <c r="B7" s="31" t="s">
        <v>169</v>
      </c>
      <c r="C7" s="32" t="s">
        <v>166</v>
      </c>
      <c r="D7" s="35"/>
      <c r="E7" s="35"/>
      <c r="G7" s="35" t="s">
        <v>170</v>
      </c>
      <c r="H7" s="35"/>
      <c r="I7" s="35"/>
      <c r="K7" s="35" t="s">
        <v>171</v>
      </c>
      <c r="M7" s="35"/>
      <c r="N7" s="35" t="s">
        <v>172</v>
      </c>
      <c r="P7" s="49"/>
      <c r="Q7" s="50"/>
    </row>
    <row r="8" spans="1:17">
      <c r="A8" s="30" t="s">
        <v>114</v>
      </c>
      <c r="B8" s="31" t="s">
        <v>169</v>
      </c>
      <c r="C8" s="32" t="s">
        <v>167</v>
      </c>
      <c r="D8" s="35"/>
      <c r="E8" s="35"/>
      <c r="G8" s="35" t="s">
        <v>170</v>
      </c>
      <c r="H8" s="35"/>
      <c r="I8" s="35"/>
      <c r="K8" s="35" t="s">
        <v>171</v>
      </c>
      <c r="M8" s="35"/>
      <c r="N8" s="35" t="s">
        <v>172</v>
      </c>
      <c r="P8" s="49"/>
      <c r="Q8" s="50"/>
    </row>
    <row r="9" spans="1:17">
      <c r="A9" s="37" t="s">
        <v>168</v>
      </c>
      <c r="B9" s="38" t="s">
        <v>169</v>
      </c>
      <c r="C9" s="39"/>
      <c r="D9" s="40"/>
      <c r="E9" s="40"/>
      <c r="F9" s="40"/>
      <c r="G9" s="40"/>
      <c r="H9" s="51"/>
      <c r="I9" s="40"/>
      <c r="J9" s="40"/>
      <c r="K9" s="40"/>
      <c r="L9" s="40"/>
      <c r="M9" s="40"/>
      <c r="N9" s="40"/>
      <c r="O9" s="52"/>
      <c r="P9" s="52"/>
      <c r="Q9" s="53"/>
    </row>
    <row r="10" spans="1:17">
      <c r="A10" s="42" t="s">
        <v>83</v>
      </c>
      <c r="B10" s="43" t="s">
        <v>173</v>
      </c>
      <c r="C10" s="44" t="s">
        <v>140</v>
      </c>
      <c r="D10" s="33"/>
      <c r="E10" s="33" t="s">
        <v>174</v>
      </c>
      <c r="F10" s="33"/>
      <c r="G10" s="33"/>
      <c r="H10" s="33" t="s">
        <v>175</v>
      </c>
      <c r="I10" s="33"/>
      <c r="J10" s="33"/>
      <c r="K10" s="33" t="s">
        <v>176</v>
      </c>
      <c r="L10" s="33"/>
      <c r="M10" s="33"/>
      <c r="N10" s="33" t="s">
        <v>177</v>
      </c>
      <c r="O10" s="33" t="s">
        <v>178</v>
      </c>
      <c r="P10" s="33" t="s">
        <v>178</v>
      </c>
      <c r="Q10" s="34"/>
    </row>
    <row r="11" spans="1:17">
      <c r="A11" s="30" t="s">
        <v>113</v>
      </c>
      <c r="B11" s="31" t="s">
        <v>173</v>
      </c>
      <c r="C11" s="32" t="s">
        <v>166</v>
      </c>
      <c r="D11" s="35"/>
      <c r="E11" s="35" t="s">
        <v>174</v>
      </c>
      <c r="F11" s="35"/>
      <c r="G11" s="35"/>
      <c r="H11" s="35" t="s">
        <v>175</v>
      </c>
      <c r="I11" s="35"/>
      <c r="J11" s="35"/>
      <c r="K11" s="35" t="s">
        <v>176</v>
      </c>
      <c r="L11" s="35"/>
      <c r="M11" s="35"/>
      <c r="N11" s="35" t="s">
        <v>177</v>
      </c>
      <c r="O11" s="35" t="s">
        <v>178</v>
      </c>
      <c r="P11" s="35" t="s">
        <v>178</v>
      </c>
      <c r="Q11" s="36"/>
    </row>
    <row r="12" spans="1:17">
      <c r="A12" s="30" t="s">
        <v>114</v>
      </c>
      <c r="B12" s="31" t="s">
        <v>173</v>
      </c>
      <c r="C12" s="32" t="s">
        <v>167</v>
      </c>
      <c r="D12" s="35"/>
      <c r="E12" s="35" t="s">
        <v>174</v>
      </c>
      <c r="F12" s="35"/>
      <c r="G12" s="35"/>
      <c r="H12" s="35" t="s">
        <v>175</v>
      </c>
      <c r="I12" s="35"/>
      <c r="J12" s="35"/>
      <c r="K12" s="35" t="s">
        <v>176</v>
      </c>
      <c r="L12" s="35"/>
      <c r="M12" s="35"/>
      <c r="N12" s="35" t="s">
        <v>177</v>
      </c>
      <c r="O12" s="35" t="s">
        <v>178</v>
      </c>
      <c r="P12" s="35" t="s">
        <v>178</v>
      </c>
      <c r="Q12" s="36"/>
    </row>
    <row r="13" spans="1:17">
      <c r="A13" s="37" t="s">
        <v>168</v>
      </c>
      <c r="B13" s="38" t="s">
        <v>173</v>
      </c>
      <c r="C13" s="39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1"/>
    </row>
    <row r="14" spans="1:17">
      <c r="A14" s="42" t="s">
        <v>83</v>
      </c>
      <c r="B14" s="43" t="s">
        <v>179</v>
      </c>
      <c r="C14" s="44" t="s">
        <v>140</v>
      </c>
      <c r="D14" s="33"/>
      <c r="E14" s="33"/>
      <c r="F14" s="33"/>
      <c r="G14" s="33"/>
      <c r="H14" s="33"/>
      <c r="I14" s="33"/>
      <c r="J14" s="33"/>
      <c r="K14" s="46"/>
      <c r="L14" s="33"/>
      <c r="M14" s="33" t="s">
        <v>152</v>
      </c>
      <c r="N14" s="33"/>
      <c r="O14" s="33"/>
      <c r="P14" s="33"/>
      <c r="Q14" s="34"/>
    </row>
    <row r="15" spans="1:17">
      <c r="A15" s="30" t="s">
        <v>113</v>
      </c>
      <c r="B15" s="31" t="s">
        <v>179</v>
      </c>
      <c r="C15" s="32" t="s">
        <v>166</v>
      </c>
      <c r="D15" s="35"/>
      <c r="E15" s="35"/>
      <c r="F15" s="35"/>
      <c r="G15" s="35"/>
      <c r="H15" s="35"/>
      <c r="I15" s="35"/>
      <c r="J15" s="35"/>
      <c r="L15" s="35"/>
      <c r="M15" s="35" t="s">
        <v>152</v>
      </c>
      <c r="N15" s="35"/>
      <c r="O15" s="35"/>
      <c r="P15" s="35"/>
      <c r="Q15" s="36"/>
    </row>
    <row r="16" spans="1:17">
      <c r="A16" s="30" t="s">
        <v>114</v>
      </c>
      <c r="B16" s="31" t="s">
        <v>179</v>
      </c>
      <c r="C16" s="32" t="s">
        <v>167</v>
      </c>
      <c r="D16" s="35"/>
      <c r="E16" s="35"/>
      <c r="F16" s="35"/>
      <c r="G16" s="35"/>
      <c r="H16" s="35"/>
      <c r="I16" s="35"/>
      <c r="J16" s="35"/>
      <c r="L16" s="35"/>
      <c r="M16" s="35" t="s">
        <v>152</v>
      </c>
      <c r="N16" s="35"/>
      <c r="O16" s="35"/>
      <c r="P16" s="35"/>
      <c r="Q16" s="36"/>
    </row>
    <row r="17" spans="1:17">
      <c r="A17" s="37" t="s">
        <v>168</v>
      </c>
      <c r="B17" s="38" t="s">
        <v>179</v>
      </c>
      <c r="C17" s="39"/>
      <c r="D17" s="40"/>
      <c r="E17" s="40"/>
      <c r="F17" s="40"/>
      <c r="G17" s="40"/>
      <c r="H17" s="40"/>
      <c r="I17" s="40"/>
      <c r="J17" s="40"/>
      <c r="K17" s="40"/>
      <c r="L17" s="40"/>
      <c r="M17" s="40" t="s">
        <v>152</v>
      </c>
      <c r="N17" s="40"/>
      <c r="O17" s="40"/>
      <c r="P17" s="40"/>
      <c r="Q17" s="41"/>
    </row>
    <row r="18" spans="1:17">
      <c r="A18" s="30" t="s">
        <v>83</v>
      </c>
      <c r="B18" s="31" t="s">
        <v>180</v>
      </c>
      <c r="C18" s="32" t="s">
        <v>140</v>
      </c>
      <c r="D18" s="35"/>
      <c r="F18" s="35"/>
      <c r="G18" s="35"/>
      <c r="H18" s="35"/>
      <c r="I18" s="35"/>
      <c r="J18" s="35"/>
      <c r="K18" s="35"/>
      <c r="L18" s="35"/>
      <c r="M18" s="35" t="s">
        <v>152</v>
      </c>
      <c r="N18" s="35"/>
      <c r="O18" s="35"/>
      <c r="P18" s="35"/>
      <c r="Q18" s="36"/>
    </row>
    <row r="19" spans="1:17">
      <c r="A19" s="30" t="s">
        <v>113</v>
      </c>
      <c r="B19" s="31" t="s">
        <v>180</v>
      </c>
      <c r="C19" s="32" t="s">
        <v>166</v>
      </c>
      <c r="D19" s="35"/>
      <c r="F19" s="35"/>
      <c r="G19" s="35"/>
      <c r="H19" s="35"/>
      <c r="I19" s="35"/>
      <c r="J19" s="35"/>
      <c r="K19" s="35"/>
      <c r="L19" s="35"/>
      <c r="M19" s="35" t="s">
        <v>152</v>
      </c>
      <c r="N19" s="35"/>
      <c r="O19" s="35"/>
      <c r="P19" s="35"/>
      <c r="Q19" s="36"/>
    </row>
    <row r="20" spans="1:17">
      <c r="A20" s="30" t="s">
        <v>114</v>
      </c>
      <c r="B20" s="31" t="s">
        <v>180</v>
      </c>
      <c r="C20" s="32" t="s">
        <v>167</v>
      </c>
      <c r="D20" s="35"/>
      <c r="F20" s="35"/>
      <c r="G20" s="35"/>
      <c r="H20" s="35"/>
      <c r="I20" s="35"/>
      <c r="J20" s="35"/>
      <c r="K20" s="35"/>
      <c r="L20" s="35"/>
      <c r="M20" s="35" t="s">
        <v>152</v>
      </c>
      <c r="N20" s="35"/>
      <c r="O20" s="35"/>
      <c r="P20" s="35"/>
      <c r="Q20" s="36"/>
    </row>
    <row r="21" spans="1:17">
      <c r="A21" s="37" t="s">
        <v>168</v>
      </c>
      <c r="B21" s="38" t="s">
        <v>180</v>
      </c>
      <c r="C21" s="39"/>
      <c r="D21" s="40"/>
      <c r="E21" s="40"/>
      <c r="F21" s="40"/>
      <c r="G21" s="40"/>
      <c r="H21" s="40"/>
      <c r="I21" s="40"/>
      <c r="J21" s="40"/>
      <c r="K21" s="40"/>
      <c r="L21" s="40"/>
      <c r="M21" s="40" t="s">
        <v>152</v>
      </c>
      <c r="N21" s="40"/>
      <c r="O21" s="40"/>
      <c r="P21" s="40"/>
      <c r="Q21" s="41"/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50CC7-7BCC-4670-9BAF-7AF8C580B8C9}">
  <dimension ref="A1:F19"/>
  <sheetViews>
    <sheetView workbookViewId="0">
      <selection activeCell="C29" sqref="C29"/>
    </sheetView>
  </sheetViews>
  <sheetFormatPr defaultRowHeight="15"/>
  <cols>
    <col min="1" max="1" width="9" bestFit="1" customWidth="1"/>
    <col min="2" max="2" width="10.28515625" bestFit="1" customWidth="1"/>
    <col min="3" max="3" width="46" bestFit="1" customWidth="1"/>
    <col min="4" max="4" width="55.7109375" bestFit="1" customWidth="1"/>
    <col min="5" max="5" width="49" bestFit="1" customWidth="1"/>
    <col min="6" max="6" width="19" bestFit="1" customWidth="1"/>
  </cols>
  <sheetData>
    <row r="1" spans="1:6">
      <c r="A1" s="56" t="s">
        <v>0</v>
      </c>
      <c r="B1" s="56" t="s">
        <v>2</v>
      </c>
      <c r="C1" s="57" t="s">
        <v>3</v>
      </c>
      <c r="D1" s="57" t="s">
        <v>4</v>
      </c>
      <c r="E1" s="3" t="s">
        <v>5</v>
      </c>
      <c r="F1" s="3" t="s">
        <v>181</v>
      </c>
    </row>
    <row r="2" spans="1:6">
      <c r="A2" s="2" t="s">
        <v>182</v>
      </c>
      <c r="B2" s="2" t="s">
        <v>183</v>
      </c>
      <c r="C2" s="2" t="s">
        <v>184</v>
      </c>
      <c r="D2" s="2" t="s">
        <v>185</v>
      </c>
      <c r="E2" s="2" t="s">
        <v>186</v>
      </c>
      <c r="F2" s="2"/>
    </row>
    <row r="3" spans="1:6">
      <c r="A3" t="s">
        <v>182</v>
      </c>
      <c r="B3" t="s">
        <v>187</v>
      </c>
      <c r="C3" t="s">
        <v>188</v>
      </c>
      <c r="D3" t="s">
        <v>189</v>
      </c>
    </row>
    <row r="4" spans="1:6">
      <c r="A4" t="s">
        <v>190</v>
      </c>
      <c r="B4" t="s">
        <v>191</v>
      </c>
      <c r="C4" t="s">
        <v>192</v>
      </c>
      <c r="D4" t="s">
        <v>193</v>
      </c>
      <c r="F4" t="s">
        <v>194</v>
      </c>
    </row>
    <row r="5" spans="1:6">
      <c r="A5" t="s">
        <v>190</v>
      </c>
      <c r="B5" t="s">
        <v>195</v>
      </c>
      <c r="C5" t="s">
        <v>196</v>
      </c>
      <c r="D5" t="s">
        <v>197</v>
      </c>
    </row>
    <row r="6" spans="1:6">
      <c r="A6" t="s">
        <v>198</v>
      </c>
      <c r="B6" t="s">
        <v>199</v>
      </c>
      <c r="C6" t="s">
        <v>200</v>
      </c>
      <c r="D6" t="s">
        <v>201</v>
      </c>
    </row>
    <row r="7" spans="1:6">
      <c r="A7" t="s">
        <v>198</v>
      </c>
      <c r="B7" t="s">
        <v>202</v>
      </c>
      <c r="C7" t="s">
        <v>203</v>
      </c>
      <c r="D7" t="s">
        <v>204</v>
      </c>
      <c r="E7" t="s">
        <v>205</v>
      </c>
      <c r="F7" t="s">
        <v>206</v>
      </c>
    </row>
    <row r="8" spans="1:6">
      <c r="A8" t="s">
        <v>207</v>
      </c>
      <c r="B8" t="s">
        <v>208</v>
      </c>
      <c r="C8" t="s">
        <v>209</v>
      </c>
      <c r="D8" t="s">
        <v>210</v>
      </c>
    </row>
    <row r="9" spans="1:6">
      <c r="A9" t="s">
        <v>207</v>
      </c>
      <c r="B9" t="s">
        <v>211</v>
      </c>
      <c r="C9" t="s">
        <v>212</v>
      </c>
      <c r="D9" t="s">
        <v>213</v>
      </c>
      <c r="F9" t="s">
        <v>214</v>
      </c>
    </row>
    <row r="10" spans="1:6">
      <c r="A10" t="s">
        <v>215</v>
      </c>
      <c r="B10" t="s">
        <v>216</v>
      </c>
      <c r="C10" t="s">
        <v>217</v>
      </c>
      <c r="D10" t="s">
        <v>218</v>
      </c>
    </row>
    <row r="11" spans="1:6">
      <c r="A11" t="s">
        <v>215</v>
      </c>
      <c r="B11" t="s">
        <v>219</v>
      </c>
      <c r="C11" t="s">
        <v>220</v>
      </c>
      <c r="D11" t="s">
        <v>221</v>
      </c>
      <c r="E11" t="s">
        <v>222</v>
      </c>
    </row>
    <row r="12" spans="1:6">
      <c r="A12" t="s">
        <v>223</v>
      </c>
      <c r="B12" t="s">
        <v>224</v>
      </c>
      <c r="C12" t="s">
        <v>225</v>
      </c>
      <c r="D12" t="s">
        <v>226</v>
      </c>
    </row>
    <row r="13" spans="1:6">
      <c r="A13" t="s">
        <v>223</v>
      </c>
      <c r="B13" t="s">
        <v>227</v>
      </c>
      <c r="C13" t="s">
        <v>228</v>
      </c>
      <c r="D13" t="s">
        <v>229</v>
      </c>
      <c r="F13" t="s">
        <v>230</v>
      </c>
    </row>
    <row r="14" spans="1:6">
      <c r="A14" t="s">
        <v>231</v>
      </c>
      <c r="B14" t="s">
        <v>232</v>
      </c>
      <c r="C14" t="s">
        <v>233</v>
      </c>
      <c r="D14" t="s">
        <v>234</v>
      </c>
    </row>
    <row r="15" spans="1:6">
      <c r="A15" t="s">
        <v>231</v>
      </c>
      <c r="B15" t="s">
        <v>235</v>
      </c>
      <c r="C15" t="s">
        <v>236</v>
      </c>
      <c r="D15" t="s">
        <v>237</v>
      </c>
      <c r="E15" t="s">
        <v>238</v>
      </c>
    </row>
    <row r="16" spans="1:6">
      <c r="A16" t="s">
        <v>239</v>
      </c>
      <c r="B16" t="s">
        <v>240</v>
      </c>
      <c r="C16" t="s">
        <v>241</v>
      </c>
      <c r="D16" t="s">
        <v>242</v>
      </c>
    </row>
    <row r="17" spans="1:6">
      <c r="A17" t="s">
        <v>239</v>
      </c>
      <c r="B17" t="s">
        <v>243</v>
      </c>
      <c r="C17" t="s">
        <v>244</v>
      </c>
      <c r="D17" t="s">
        <v>245</v>
      </c>
      <c r="E17" t="s">
        <v>246</v>
      </c>
      <c r="F17" t="s">
        <v>247</v>
      </c>
    </row>
    <row r="18" spans="1:6">
      <c r="A18" t="s">
        <v>248</v>
      </c>
      <c r="B18" t="s">
        <v>249</v>
      </c>
      <c r="C18" t="s">
        <v>250</v>
      </c>
      <c r="F18" t="s">
        <v>251</v>
      </c>
    </row>
    <row r="19" spans="1:6">
      <c r="A19" s="1" t="s">
        <v>248</v>
      </c>
      <c r="B19" s="1" t="s">
        <v>252</v>
      </c>
      <c r="C19" s="1" t="s">
        <v>253</v>
      </c>
      <c r="D19" s="1"/>
      <c r="E19" s="1" t="s">
        <v>254</v>
      </c>
      <c r="F19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97B31-AE7D-4B24-9AEC-8E03DB33F198}">
  <dimension ref="A1:B19"/>
  <sheetViews>
    <sheetView workbookViewId="0">
      <selection activeCell="J18" sqref="J18"/>
    </sheetView>
  </sheetViews>
  <sheetFormatPr defaultRowHeight="15"/>
  <sheetData>
    <row r="1" spans="1:2">
      <c r="A1" t="s">
        <v>255</v>
      </c>
    </row>
    <row r="2" spans="1:2">
      <c r="B2" t="s">
        <v>256</v>
      </c>
    </row>
    <row r="3" spans="1:2">
      <c r="B3" t="s">
        <v>257</v>
      </c>
    </row>
    <row r="4" spans="1:2">
      <c r="B4" t="s">
        <v>258</v>
      </c>
    </row>
    <row r="5" spans="1:2">
      <c r="B5" t="s">
        <v>259</v>
      </c>
    </row>
    <row r="6" spans="1:2">
      <c r="B6" t="s">
        <v>260</v>
      </c>
    </row>
    <row r="7" spans="1:2">
      <c r="B7" t="s">
        <v>261</v>
      </c>
    </row>
    <row r="8" spans="1:2">
      <c r="B8" t="s">
        <v>262</v>
      </c>
    </row>
    <row r="9" spans="1:2">
      <c r="B9" t="s">
        <v>263</v>
      </c>
    </row>
    <row r="10" spans="1:2">
      <c r="B10" t="s">
        <v>264</v>
      </c>
    </row>
    <row r="11" spans="1:2">
      <c r="B11" t="s">
        <v>265</v>
      </c>
    </row>
    <row r="12" spans="1:2">
      <c r="B12" t="s">
        <v>266</v>
      </c>
    </row>
    <row r="13" spans="1:2">
      <c r="B13" t="s">
        <v>267</v>
      </c>
    </row>
    <row r="14" spans="1:2">
      <c r="B14" t="s">
        <v>268</v>
      </c>
    </row>
    <row r="15" spans="1:2">
      <c r="B15" t="s">
        <v>269</v>
      </c>
    </row>
    <row r="16" spans="1:2">
      <c r="B16" t="s">
        <v>270</v>
      </c>
    </row>
    <row r="17" spans="2:2">
      <c r="B17" t="s">
        <v>271</v>
      </c>
    </row>
    <row r="18" spans="2:2">
      <c r="B18" t="s">
        <v>272</v>
      </c>
    </row>
    <row r="19" spans="2:2">
      <c r="B19" t="s">
        <v>273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98F98-936B-4105-A1E0-B80F81BB3320}">
  <dimension ref="A1:G23"/>
  <sheetViews>
    <sheetView workbookViewId="0">
      <selection activeCell="D17" sqref="D17"/>
    </sheetView>
  </sheetViews>
  <sheetFormatPr defaultColWidth="9.140625" defaultRowHeight="15"/>
  <cols>
    <col min="1" max="1" width="9" style="4" bestFit="1" customWidth="1"/>
    <col min="2" max="2" width="28" style="5" customWidth="1"/>
    <col min="3" max="3" width="8" style="4" bestFit="1" customWidth="1"/>
    <col min="4" max="4" width="65.28515625" style="4" bestFit="1" customWidth="1"/>
    <col min="5" max="5" width="88" style="60" bestFit="1" customWidth="1"/>
    <col min="6" max="6" width="7.140625" style="4" bestFit="1" customWidth="1"/>
    <col min="7" max="7" width="12.140625" style="4" bestFit="1" customWidth="1"/>
    <col min="8" max="16384" width="9.140625" style="4"/>
  </cols>
  <sheetData>
    <row r="1" spans="1:7">
      <c r="A1" s="56" t="s">
        <v>0</v>
      </c>
      <c r="B1" s="59" t="s">
        <v>1</v>
      </c>
      <c r="C1" s="56" t="s">
        <v>2</v>
      </c>
      <c r="D1" s="57" t="s">
        <v>3</v>
      </c>
      <c r="E1" s="57" t="s">
        <v>4</v>
      </c>
      <c r="F1" s="3" t="s">
        <v>5</v>
      </c>
      <c r="G1" s="3" t="s">
        <v>6</v>
      </c>
    </row>
    <row r="2" spans="1:7" ht="30">
      <c r="A2" s="5" t="s">
        <v>7</v>
      </c>
      <c r="B2" s="59" t="s">
        <v>8</v>
      </c>
      <c r="C2" s="5" t="s">
        <v>9</v>
      </c>
      <c r="D2" s="57" t="s">
        <v>10</v>
      </c>
      <c r="E2" s="57" t="s">
        <v>11</v>
      </c>
      <c r="F2" s="58"/>
      <c r="G2" s="58"/>
    </row>
    <row r="3" spans="1:7" ht="30">
      <c r="A3" s="5" t="s">
        <v>7</v>
      </c>
      <c r="B3" s="59" t="s">
        <v>8</v>
      </c>
      <c r="C3" s="5" t="s">
        <v>12</v>
      </c>
      <c r="D3" s="57" t="s">
        <v>13</v>
      </c>
      <c r="E3" s="57" t="s">
        <v>14</v>
      </c>
      <c r="F3" s="58"/>
      <c r="G3" s="58"/>
    </row>
    <row r="4" spans="1:7" ht="30">
      <c r="A4" s="5" t="s">
        <v>7</v>
      </c>
      <c r="B4" s="59" t="s">
        <v>8</v>
      </c>
      <c r="C4" s="4" t="s">
        <v>274</v>
      </c>
      <c r="D4" s="4" t="s">
        <v>275</v>
      </c>
      <c r="E4" s="60" t="s">
        <v>276</v>
      </c>
      <c r="F4" s="58"/>
      <c r="G4" s="58"/>
    </row>
    <row r="5" spans="1:7" ht="30">
      <c r="A5" s="5" t="s">
        <v>15</v>
      </c>
      <c r="B5" s="59" t="s">
        <v>16</v>
      </c>
      <c r="C5" s="5" t="s">
        <v>17</v>
      </c>
      <c r="D5" s="59" t="s">
        <v>18</v>
      </c>
      <c r="E5" s="59" t="s">
        <v>19</v>
      </c>
      <c r="F5" s="58"/>
      <c r="G5" s="58"/>
    </row>
    <row r="6" spans="1:7" ht="30">
      <c r="A6" s="5" t="s">
        <v>15</v>
      </c>
      <c r="B6" s="59" t="s">
        <v>16</v>
      </c>
      <c r="C6" s="5" t="s">
        <v>20</v>
      </c>
      <c r="D6" s="59" t="s">
        <v>21</v>
      </c>
      <c r="E6" s="59" t="s">
        <v>22</v>
      </c>
      <c r="F6" s="58"/>
      <c r="G6" s="58"/>
    </row>
    <row r="7" spans="1:7" ht="30">
      <c r="A7" s="5" t="s">
        <v>23</v>
      </c>
      <c r="B7" s="59" t="s">
        <v>24</v>
      </c>
      <c r="C7" s="5" t="s">
        <v>25</v>
      </c>
      <c r="D7" s="59" t="s">
        <v>26</v>
      </c>
      <c r="E7" s="59" t="s">
        <v>27</v>
      </c>
      <c r="F7" s="58"/>
      <c r="G7" s="58"/>
    </row>
    <row r="8" spans="1:7" ht="30">
      <c r="A8" s="5" t="s">
        <v>23</v>
      </c>
      <c r="B8" s="59" t="s">
        <v>24</v>
      </c>
      <c r="C8" s="5" t="s">
        <v>28</v>
      </c>
      <c r="D8" s="59" t="s">
        <v>29</v>
      </c>
      <c r="E8" s="59" t="s">
        <v>30</v>
      </c>
      <c r="F8" s="58"/>
      <c r="G8" s="58"/>
    </row>
    <row r="9" spans="1:7" ht="30">
      <c r="A9" s="5" t="s">
        <v>31</v>
      </c>
      <c r="B9" s="59" t="s">
        <v>32</v>
      </c>
      <c r="C9" s="5" t="s">
        <v>33</v>
      </c>
      <c r="D9" s="59" t="s">
        <v>34</v>
      </c>
      <c r="E9" s="59" t="s">
        <v>35</v>
      </c>
      <c r="F9" s="58"/>
      <c r="G9" s="58"/>
    </row>
    <row r="10" spans="1:7" ht="30">
      <c r="A10" s="5" t="s">
        <v>31</v>
      </c>
      <c r="B10" s="59" t="s">
        <v>32</v>
      </c>
      <c r="C10" s="5" t="s">
        <v>36</v>
      </c>
      <c r="D10" s="59" t="s">
        <v>37</v>
      </c>
      <c r="E10" s="59" t="s">
        <v>38</v>
      </c>
      <c r="F10" s="58"/>
      <c r="G10" s="58"/>
    </row>
    <row r="11" spans="1:7" ht="30">
      <c r="A11" s="5" t="s">
        <v>39</v>
      </c>
      <c r="B11" s="59" t="s">
        <v>40</v>
      </c>
      <c r="C11" s="5" t="s">
        <v>41</v>
      </c>
      <c r="D11" s="59" t="s">
        <v>42</v>
      </c>
      <c r="E11" s="59" t="s">
        <v>43</v>
      </c>
      <c r="F11" s="58"/>
      <c r="G11" s="58"/>
    </row>
    <row r="12" spans="1:7" ht="30">
      <c r="A12" s="5" t="s">
        <v>39</v>
      </c>
      <c r="B12" s="59" t="s">
        <v>40</v>
      </c>
      <c r="C12" s="5" t="s">
        <v>44</v>
      </c>
      <c r="D12" s="59" t="s">
        <v>45</v>
      </c>
      <c r="E12" s="59" t="s">
        <v>46</v>
      </c>
      <c r="F12" s="58"/>
      <c r="G12" s="58"/>
    </row>
    <row r="13" spans="1:7" ht="30">
      <c r="A13" s="5" t="s">
        <v>47</v>
      </c>
      <c r="B13" s="59" t="s">
        <v>48</v>
      </c>
      <c r="C13" s="5" t="s">
        <v>49</v>
      </c>
      <c r="D13" s="59" t="s">
        <v>50</v>
      </c>
      <c r="E13" s="59" t="s">
        <v>51</v>
      </c>
      <c r="F13" s="58"/>
      <c r="G13" s="58"/>
    </row>
    <row r="14" spans="1:7" ht="30">
      <c r="A14" s="5" t="s">
        <v>47</v>
      </c>
      <c r="B14" s="59" t="s">
        <v>48</v>
      </c>
      <c r="C14" s="5" t="s">
        <v>52</v>
      </c>
      <c r="D14" s="59" t="s">
        <v>53</v>
      </c>
      <c r="E14" s="59" t="s">
        <v>54</v>
      </c>
      <c r="F14" s="58"/>
      <c r="G14" s="58"/>
    </row>
    <row r="15" spans="1:7" ht="30">
      <c r="A15" s="5" t="s">
        <v>55</v>
      </c>
      <c r="B15" s="59" t="s">
        <v>56</v>
      </c>
      <c r="C15" s="5" t="s">
        <v>57</v>
      </c>
      <c r="D15" s="59" t="s">
        <v>58</v>
      </c>
      <c r="E15" s="59" t="s">
        <v>59</v>
      </c>
      <c r="F15" s="58"/>
    </row>
    <row r="16" spans="1:7" ht="30">
      <c r="A16" s="5" t="s">
        <v>55</v>
      </c>
      <c r="B16" s="59" t="s">
        <v>56</v>
      </c>
      <c r="C16" s="5" t="s">
        <v>60</v>
      </c>
      <c r="D16" s="59" t="s">
        <v>61</v>
      </c>
      <c r="E16" s="59" t="s">
        <v>62</v>
      </c>
      <c r="F16" s="58"/>
    </row>
    <row r="17" spans="1:6">
      <c r="A17" s="5" t="s">
        <v>63</v>
      </c>
      <c r="B17" s="59" t="s">
        <v>64</v>
      </c>
      <c r="C17" s="5" t="s">
        <v>65</v>
      </c>
      <c r="D17" s="59" t="s">
        <v>66</v>
      </c>
      <c r="E17" s="59" t="s">
        <v>67</v>
      </c>
      <c r="F17" s="58"/>
    </row>
    <row r="18" spans="1:6" ht="30">
      <c r="A18" s="5" t="s">
        <v>63</v>
      </c>
      <c r="B18" s="59" t="s">
        <v>64</v>
      </c>
      <c r="C18" s="5" t="s">
        <v>68</v>
      </c>
      <c r="D18" s="59" t="s">
        <v>69</v>
      </c>
      <c r="E18" s="59" t="s">
        <v>70</v>
      </c>
      <c r="F18" s="58"/>
    </row>
    <row r="19" spans="1:6" ht="30">
      <c r="A19" s="5" t="s">
        <v>71</v>
      </c>
      <c r="B19" s="59" t="s">
        <v>72</v>
      </c>
      <c r="C19" s="5" t="s">
        <v>73</v>
      </c>
      <c r="D19" s="59" t="s">
        <v>74</v>
      </c>
      <c r="E19" s="59" t="s">
        <v>75</v>
      </c>
      <c r="F19" s="58"/>
    </row>
    <row r="20" spans="1:6">
      <c r="A20" s="5" t="s">
        <v>71</v>
      </c>
      <c r="B20" s="59" t="s">
        <v>72</v>
      </c>
      <c r="C20" s="5" t="s">
        <v>76</v>
      </c>
      <c r="D20" s="59" t="s">
        <v>77</v>
      </c>
      <c r="E20" s="59" t="s">
        <v>78</v>
      </c>
      <c r="F20" s="58"/>
    </row>
    <row r="21" spans="1:6">
      <c r="D21" s="5"/>
      <c r="E21" s="5"/>
      <c r="F21" s="58"/>
    </row>
    <row r="22" spans="1:6">
      <c r="F22" s="58"/>
    </row>
    <row r="23" spans="1:6">
      <c r="F23" s="5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Padalkar, Nakul R.</dc:creator>
  <cp:keywords/>
  <dc:description/>
  <cp:lastModifiedBy>Valath Bhuan Das, Sree Kumar</cp:lastModifiedBy>
  <cp:revision/>
  <dcterms:created xsi:type="dcterms:W3CDTF">2025-11-06T02:23:11Z</dcterms:created>
  <dcterms:modified xsi:type="dcterms:W3CDTF">2026-02-06T22:33:34Z</dcterms:modified>
  <cp:category/>
  <cp:contentStatus/>
</cp:coreProperties>
</file>